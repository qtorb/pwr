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omgww-my.sharepoint.com/personal/jm_fabregas_ogilvy_com/Documents/1- JMF/1- BSM/2- MMDD/Calendaris curs/2025-26/"/>
    </mc:Choice>
  </mc:AlternateContent>
  <xr:revisionPtr revIDLastSave="877" documentId="13_ncr:1_{40D65D60-A4A5-4D9E-B1F3-CD6890A81CB4}" xr6:coauthVersionLast="47" xr6:coauthVersionMax="47" xr10:uidLastSave="{695BC6F2-9F22-4E33-AC5E-156FE96C15BA}"/>
  <bookViews>
    <workbookView xWindow="28680" yWindow="-120" windowWidth="29040" windowHeight="15840" tabRatio="773" activeTab="3" xr2:uid="{8B246CFD-5550-44B6-A92C-3AFBDE53021D}"/>
  </bookViews>
  <sheets>
    <sheet name="MMDD29_PDE" sheetId="7" r:id="rId1"/>
    <sheet name="MMDD29_calendari" sheetId="8" r:id="rId2"/>
    <sheet name="MMDD30_PDE" sheetId="2" r:id="rId3"/>
    <sheet name="MMDD30_calendari" sheetId="1" r:id="rId4"/>
    <sheet name="Mapeig AoL" sheetId="4" r:id="rId5"/>
    <sheet name="Despeses" sheetId="6" r:id="rId6"/>
    <sheet name="rangs" sheetId="3" r:id="rId7"/>
    <sheet name="course alignment matrices" sheetId="5" r:id="rId8"/>
  </sheets>
  <definedNames>
    <definedName name="_xlnm._FilterDatabase" localSheetId="3" hidden="1">MMDD30_calendari!$A$1:$J$284</definedName>
    <definedName name="_xlnm.Print_Area" localSheetId="3">MMDD30_calendari!$A$1:$I$284</definedName>
    <definedName name="ASIGNATURA">#REF!</definedName>
    <definedName name="DiasCategorias">#REF!</definedName>
    <definedName name="FechaInicio">#REF!</definedName>
    <definedName name="PROFESS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62" i="2"/>
  <c r="D55" i="2"/>
  <c r="L284" i="1"/>
  <c r="L185" i="1"/>
  <c r="L87" i="1"/>
  <c r="K2" i="1"/>
  <c r="L76" i="2"/>
  <c r="L77" i="2" s="1"/>
  <c r="K76" i="2"/>
  <c r="K77" i="2" s="1"/>
  <c r="J76" i="2"/>
  <c r="J77" i="2" s="1"/>
  <c r="E76" i="2"/>
  <c r="D64" i="2"/>
  <c r="D44" i="2"/>
  <c r="D39" i="2"/>
  <c r="D30" i="2"/>
  <c r="D22" i="2"/>
  <c r="D9" i="2"/>
  <c r="E299" i="8"/>
  <c r="E300" i="8" s="1"/>
  <c r="E298" i="8"/>
  <c r="L288" i="8"/>
  <c r="L192" i="8"/>
  <c r="L91" i="8"/>
  <c r="L2" i="8" s="1"/>
  <c r="M2" i="8"/>
  <c r="K2" i="8"/>
  <c r="L82" i="7"/>
  <c r="L83" i="7" s="1"/>
  <c r="K82" i="7"/>
  <c r="K83" i="7" s="1"/>
  <c r="J82" i="7"/>
  <c r="J83" i="7" s="1"/>
  <c r="E82" i="7"/>
  <c r="D70" i="7"/>
  <c r="D67" i="7"/>
  <c r="D56" i="7"/>
  <c r="D48" i="7"/>
  <c r="D42" i="7"/>
  <c r="D31" i="7"/>
  <c r="D23" i="7"/>
  <c r="D10" i="7"/>
  <c r="D3" i="7"/>
  <c r="D82" i="7" s="1"/>
  <c r="E287" i="1"/>
  <c r="E286" i="1"/>
  <c r="L2" i="1" l="1"/>
  <c r="D76" i="2"/>
  <c r="M76" i="2"/>
  <c r="M77" i="2" s="1"/>
  <c r="M82" i="7"/>
  <c r="M83" i="7" s="1"/>
  <c r="E28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tc={A8104E6C-AF5D-4666-98E0-FF93B5ACF595}</author>
    <author>tc={067FA73B-124A-44E1-B4ED-D8686BAF915C}</author>
    <author>tc={E4975CDB-7683-4784-86C8-C5C67D0ED185}</author>
    <author>tc={C0C1289D-0B91-4743-8AF2-93500227F23F}</author>
    <author>tc={82431E3D-FE79-47BF-9208-AD53E263E4FD}</author>
  </authors>
  <commentList>
    <comment ref="J69" authorId="0" shapeId="0" xr:uid="{A8104E6C-AF5D-4666-98E0-FF93B5ACF595}">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K69" authorId="1" shapeId="0" xr:uid="{067FA73B-124A-44E1-B4ED-D8686BAF915C}">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L69" authorId="2" shapeId="0" xr:uid="{E4975CDB-7683-4784-86C8-C5C67D0ED185}">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K79" authorId="3" shapeId="0" xr:uid="{C0C1289D-0B91-4743-8AF2-93500227F23F}">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L79" authorId="4" shapeId="0" xr:uid="{82431E3D-FE79-47BF-9208-AD53E263E4FD}">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tc={66181BD1-0A50-4F6E-9C94-E43514357E84}</author>
    <author>tc={6CF3B835-BFCB-4BA1-A52B-5263CA77945F}</author>
    <author>tc={CCCD3F61-96D4-4D06-B3B9-ABE33DE9895A}</author>
    <author>tc={57484C68-8A23-48B7-8FF6-2D92A67FEDD1}</author>
    <author>tc={3E88C31D-0B5A-41FF-AAB5-EB69C8BE2A21}</author>
    <author>tc={AD761CCB-8FF3-4722-A9D3-28FEA161877C}</author>
    <author>tc={7B1525B2-C8F3-4785-90A8-85E32991CF00}</author>
    <author>tc={037D3493-8744-4C52-A2C6-7390BFA3C069}</author>
    <author>tc={4CBCD226-DDDD-4C12-87C9-FC561D2AFBA1}</author>
    <author>tc={0F84B11B-0006-42F5-B2E2-5072B3EA8ED3}</author>
    <author>tc={F8B17817-F278-423E-B638-D64C1BCDC12F}</author>
    <author>tc={1D90D515-799A-4119-A405-4DEEAA01447A}</author>
    <author>tc={D3AC1F32-CD29-445A-BF65-72C22CD934C1}</author>
  </authors>
  <commentList>
    <comment ref="G41" authorId="0" shapeId="0" xr:uid="{66181BD1-0A50-4F6E-9C94-E43514357E84}">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70" authorId="1" shapeId="0" xr:uid="{6CF3B835-BFCB-4BA1-A52B-5263CA77945F}">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91" authorId="2" shapeId="0" xr:uid="{CCCD3F61-96D4-4D06-B3B9-ABE33DE9895A}">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18" authorId="3" shapeId="0" xr:uid="{57484C68-8A23-48B7-8FF6-2D92A67FEDD1}">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19" authorId="4" shapeId="0" xr:uid="{3E88C31D-0B5A-41FF-AAB5-EB69C8BE2A21}">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40" authorId="5" shapeId="0" xr:uid="{AD761CCB-8FF3-4722-A9D3-28FEA161877C}">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61" authorId="6" shapeId="0" xr:uid="{7B1525B2-C8F3-4785-90A8-85E32991CF0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95" authorId="7" shapeId="0" xr:uid="{037D3493-8744-4C52-A2C6-7390BFA3C069}">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96" authorId="8" shapeId="0" xr:uid="{4CBCD226-DDDD-4C12-87C9-FC561D2AFBA1}">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17" authorId="9" shapeId="0" xr:uid="{0F84B11B-0006-42F5-B2E2-5072B3EA8ED3}">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38" authorId="10" shapeId="0" xr:uid="{F8B17817-F278-423E-B638-D64C1BCDC12F}">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59" authorId="11" shapeId="0" xr:uid="{1D90D515-799A-4119-A405-4DEEAA01447A}">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73" authorId="12" shapeId="0" xr:uid="{D3AC1F32-CD29-445A-BF65-72C22CD934C1}">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tc={167D9DE4-C004-4DF6-9D01-E0E52EBF4EAB}</author>
    <author>tc={C943C498-ED95-4E8D-9080-5D207EAEC42E}</author>
    <author>tc={508BF339-CFB3-4EE6-84AB-D63F8B731E3E}</author>
    <author>tc={B836EAFB-C795-43A8-BC3B-C9D91CBDA059}</author>
  </authors>
  <commentList>
    <comment ref="J63" authorId="0" shapeId="0" xr:uid="{167D9DE4-C004-4DF6-9D01-E0E52EBF4EAB}">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K63" authorId="1" shapeId="0" xr:uid="{C943C498-ED95-4E8D-9080-5D207EAEC42E}">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L63" authorId="2" shapeId="0" xr:uid="{508BF339-CFB3-4EE6-84AB-D63F8B731E3E}">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 ref="K73" authorId="3" shapeId="0" xr:uid="{B836EAFB-C795-43A8-BC3B-C9D91CBDA059}">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sessions dobles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tc={B577027F-4288-4B80-901A-2761B16CA0C4}</author>
    <author>tc={396A12BE-F6A6-4836-B7CD-0F33B6D51839}</author>
    <author>tc={556D08D6-3F77-4C90-B080-38A201F4C419}</author>
    <author>tc={7AD5B806-D36D-467A-8207-9DEA1C5C5F2A}</author>
    <author>tc={904EC496-9142-416C-88B2-9693E218B3C2}</author>
    <author>tc={236C0203-542D-4E18-AF69-1ADD58887F93}</author>
    <author>tc={BE2D055D-4527-4A42-B75A-D1B8022B284C}</author>
    <author>tc={FCACAD04-CB1F-4E10-8DA5-30D50DF97FA8}</author>
    <author>tc={8B67011B-21FD-4E5C-80E4-23E551D2F049}</author>
    <author>tc={EFFFCD41-442F-42D6-A07E-C1EEC1DADC6A}</author>
    <author>tc={633F9449-5D16-4537-A8AF-50E8C1CC559B}</author>
    <author>tc={3B9D419A-36A3-4912-81A1-2E4DDD96482E}</author>
  </authors>
  <commentList>
    <comment ref="G38" authorId="0" shapeId="0" xr:uid="{B577027F-4288-4B80-901A-2761B16CA0C4}">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66" authorId="1" shapeId="0" xr:uid="{396A12BE-F6A6-4836-B7CD-0F33B6D51839}">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87" authorId="2" shapeId="0" xr:uid="{556D08D6-3F77-4C90-B080-38A201F4C419}">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07" authorId="3" shapeId="0" xr:uid="{7AD5B806-D36D-467A-8207-9DEA1C5C5F2A}">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08" authorId="4" shapeId="0" xr:uid="{904EC496-9142-416C-88B2-9693E218B3C2}">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29" authorId="5" shapeId="0" xr:uid="{236C0203-542D-4E18-AF69-1ADD58887F93}">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57" authorId="6" shapeId="0" xr:uid="{BE2D055D-4527-4A42-B75A-D1B8022B284C}">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185" authorId="7" shapeId="0" xr:uid="{FCACAD04-CB1F-4E10-8DA5-30D50DF97FA8}">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10" authorId="8" shapeId="0" xr:uid="{8B67011B-21FD-4E5C-80E4-23E551D2F049}">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13" authorId="9" shapeId="0" xr:uid="{EFFFCD41-442F-42D6-A07E-C1EEC1DADC6A}">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19" authorId="10" shapeId="0" xr:uid="{633F9449-5D16-4537-A8AF-50E8C1CC559B}">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 ref="G255" authorId="11" shapeId="0" xr:uid="{3B9D419A-36A3-4912-81A1-2E4DDD96482E}">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Desdoblament classe: sessió doble (JMF+AGP)</t>
      </text>
    </comment>
  </commentList>
</comments>
</file>

<file path=xl/sharedStrings.xml><?xml version="1.0" encoding="utf-8"?>
<sst xmlns="http://schemas.openxmlformats.org/spreadsheetml/2006/main" count="1610" uniqueCount="378">
  <si>
    <t>MATERIA</t>
  </si>
  <si>
    <t>CODI ASSIGNATURA</t>
  </si>
  <si>
    <t>ASSIGNATURA</t>
  </si>
  <si>
    <t>ECTS</t>
  </si>
  <si>
    <t>CARÁCTER</t>
  </si>
  <si>
    <t>DESGLOSSAMENT EN SESSIONS</t>
  </si>
  <si>
    <t>PROFESSOR 1</t>
  </si>
  <si>
    <t>PROFESSOR 2</t>
  </si>
  <si>
    <t>HORES IMPARTICIÓ</t>
  </si>
  <si>
    <t>SISTEMA AVALUACIÓ</t>
  </si>
  <si>
    <t>Agrupacions d'assignatures. En una mateixa matèria poden conviure assignatures de diferent càrrega lectiva i caràcter</t>
  </si>
  <si>
    <t xml:space="preserve">És la unitat mínima avaluable. La càrrega mínima és de 3 ECTS.  </t>
  </si>
  <si>
    <t>Hores/ assignatura</t>
  </si>
  <si>
    <t>1 ECTS = 25 hores de treball (mínim 7 h lectives presencials)</t>
  </si>
  <si>
    <t>Fa referència a l'assignatura, ja sigui Obligatòria o optativa</t>
  </si>
  <si>
    <t>L'estructura en sessions és flexible i poden associacar-se a temes, dies de classe, seminaris, tallers, presentacions,  etc…</t>
  </si>
  <si>
    <t>T1</t>
  </si>
  <si>
    <t>T2</t>
  </si>
  <si>
    <t>T3</t>
  </si>
  <si>
    <t>Caldria especificar en cada asignatura quines proves o sistemes d'avaluació es portaran a terme i el pes que significaran sobre la nota final. En el cas dels màsters universitaris cal tenir present que aquests percentatges han d'estar en consonància amb allò especificat a la memòria de verificació</t>
  </si>
  <si>
    <t>Planificación Estratégica de Marketing Relacional y Digital</t>
  </si>
  <si>
    <t>A008110</t>
  </si>
  <si>
    <t>Estrategia de Marca y Fundamentos de Marketing Relacional y Digital</t>
  </si>
  <si>
    <t>OBLIGATORIA</t>
  </si>
  <si>
    <t>Conocimiento del cliente: buyer persona y customer journey (B2C)</t>
  </si>
  <si>
    <t>Ester Solana</t>
  </si>
  <si>
    <t>Caterina Alonso</t>
  </si>
  <si>
    <t>Hito #3</t>
  </si>
  <si>
    <t>Conocimiento del cliente: buyer persona y customer journey (B2B)</t>
  </si>
  <si>
    <t>Itziar Cenoz</t>
  </si>
  <si>
    <t>Análisis entorno y marco competitivo. Benchmark digital.</t>
  </si>
  <si>
    <t>Oportunidad de negocio y propuesta de valor</t>
  </si>
  <si>
    <t>Planificación estratégica de marca. Herramientas IA en Planificación estratégica</t>
  </si>
  <si>
    <t>Estrategia de contenidos: introducción y definición de pilares</t>
  </si>
  <si>
    <t>Pat Carrasco</t>
  </si>
  <si>
    <t>Estrategia de contenidos: orquestación de emisores y canales</t>
  </si>
  <si>
    <t>A008112</t>
  </si>
  <si>
    <t>Estrategias de Captación &amp; Medios Pagados</t>
  </si>
  <si>
    <t>Glòria Muñoz</t>
  </si>
  <si>
    <t>Hito #6</t>
  </si>
  <si>
    <t>Behavioral economics: palancas de la motivación humana</t>
  </si>
  <si>
    <t>Karen Seelmann</t>
  </si>
  <si>
    <t>Product Led Growth (2)</t>
  </si>
  <si>
    <t>Albert G. Pujadas</t>
  </si>
  <si>
    <t>Fernando Sáiz</t>
  </si>
  <si>
    <t>Planificación de medios online: fundamentos</t>
  </si>
  <si>
    <t>Planificación de medios online: estrategia y casos (2)</t>
  </si>
  <si>
    <t xml:space="preserve">Workshop Google ads: setup campañas </t>
  </si>
  <si>
    <t>Gerard Fàbregas</t>
  </si>
  <si>
    <t xml:space="preserve">Workshop Google ads: lanzamiento campañas </t>
  </si>
  <si>
    <t>Social paid: introducción y planificación</t>
  </si>
  <si>
    <t xml:space="preserve">Workshop Meta ads: setup y lanzamiento campañas </t>
  </si>
  <si>
    <t>Workshop: follow-up campañas Google ads &amp; FB/IG ads. Herramientas IA en paid media</t>
  </si>
  <si>
    <t>A010091</t>
  </si>
  <si>
    <t>Estrategias de Fidelización</t>
  </si>
  <si>
    <t>Introducción: para qué fidelizar. La mirada estratégica del LTV</t>
  </si>
  <si>
    <t>Hito #8</t>
  </si>
  <si>
    <t>Cómo retener clientes. Cómo crear vínculos con los clientes</t>
  </si>
  <si>
    <t>Cómo incrementar el valor de los clientes: modelo RFM, cross-selling/up-selling</t>
  </si>
  <si>
    <t>Cuándo y cómo nos comunicamos: MoT, plan de contactos &amp; automatización</t>
  </si>
  <si>
    <t>Customer Journey de Fidelización</t>
  </si>
  <si>
    <t>Marcela Valle</t>
  </si>
  <si>
    <t>E-mailing: planificación de campañas</t>
  </si>
  <si>
    <t>E-mailing: implementación y herramientas</t>
  </si>
  <si>
    <t>Cálculo ROI: Captación + Fidelización</t>
  </si>
  <si>
    <t>Gestión de Canales y Medios Digitales</t>
  </si>
  <si>
    <t>A008113</t>
  </si>
  <si>
    <t>Gestión de Canales Propios</t>
  </si>
  <si>
    <t>Intro a canales digitales: owned/paid/earned</t>
  </si>
  <si>
    <t>Hito #4</t>
  </si>
  <si>
    <t>Posicionamiento orgánico (SEO) (III). Herramientas IA en SEO</t>
  </si>
  <si>
    <t>Esther Torrecilla</t>
  </si>
  <si>
    <t>Introducción al Mobile Marketing</t>
  </si>
  <si>
    <t>Noelia Leiro</t>
  </si>
  <si>
    <t>Mobile marketing: Apps y UX (2)</t>
  </si>
  <si>
    <t>Fundamentos de UX/UI</t>
  </si>
  <si>
    <t>Adriana Mariné</t>
  </si>
  <si>
    <t>A010092</t>
  </si>
  <si>
    <t>Owned media: introducción RRSS y estrategia</t>
  </si>
  <si>
    <t>Owned media: planificación de RRSS</t>
  </si>
  <si>
    <t>Zoom principales canales: características y herramientas relacionadas (FB, IG, Tw, YT)</t>
  </si>
  <si>
    <t>Zoom en principales canales: características y herramientas relacionadas (Linkedin, Tik Tok, Pinterest, redes de streaming)</t>
  </si>
  <si>
    <t>Herramientas relacionadas con las diversas redes sociales y Social Media Optimization</t>
  </si>
  <si>
    <t>Earned media: influencers y Social Commerce</t>
  </si>
  <si>
    <t>A008115</t>
  </si>
  <si>
    <t>E-commerce</t>
  </si>
  <si>
    <t>Hito #5</t>
  </si>
  <si>
    <t>Cómo desarrollar los canales de venta externos: marketplaces y social commerce</t>
  </si>
  <si>
    <t>Berta Garcia</t>
  </si>
  <si>
    <t>E-commerce en entornos B2B. Aspectos específicos a tener en cuenta</t>
  </si>
  <si>
    <t>Data, Analítica y Tecnología</t>
  </si>
  <si>
    <t>A009790</t>
  </si>
  <si>
    <t>Fundamentos de Tecnología para Marketing</t>
  </si>
  <si>
    <t xml:space="preserve">Introducción a los Fundamentos Tech para Marketers </t>
  </si>
  <si>
    <t>Fernando Saiz</t>
  </si>
  <si>
    <t>Eduard Mas</t>
  </si>
  <si>
    <t>Hito #7</t>
  </si>
  <si>
    <t>Conceptos básicos de la infraestructura y programación de web y app</t>
  </si>
  <si>
    <t>SEO, comunicaciones y automatización de marketing</t>
  </si>
  <si>
    <t>Workshop: prototipo propiedad digital</t>
  </si>
  <si>
    <t>Conferencias MarTech: IA en MarTech</t>
  </si>
  <si>
    <t>Jordi Urbea</t>
  </si>
  <si>
    <t>PONENTE</t>
  </si>
  <si>
    <t xml:space="preserve">Datos y análisis: infraestructura, herramientas y programación </t>
  </si>
  <si>
    <t>Comunicaciones y Adtech: aspectos tecnológicos del ecosistema publicitario</t>
  </si>
  <si>
    <t>Conferencias MarTech: IoT update</t>
  </si>
  <si>
    <t>A009789</t>
  </si>
  <si>
    <t>Data management y Analítica online</t>
  </si>
  <si>
    <t>Introducción al Dato</t>
  </si>
  <si>
    <t>Anna Buron</t>
  </si>
  <si>
    <t>Hito #9</t>
  </si>
  <si>
    <t>Marco legislativo: RGPD y Ley de Servicios de la Sociedad de la Información</t>
  </si>
  <si>
    <t>Daniel Solé</t>
  </si>
  <si>
    <t>Estrategias de captación de datos</t>
  </si>
  <si>
    <t>Explotación de los datos. Herramientas IA en Data management</t>
  </si>
  <si>
    <t>Programática. Identity Resolution. Cookieless</t>
  </si>
  <si>
    <t>Data Manager y transformación de las organizaciones</t>
  </si>
  <si>
    <t>A010090</t>
  </si>
  <si>
    <t>Estrategia de medición </t>
  </si>
  <si>
    <t>Gemma Llopart</t>
  </si>
  <si>
    <t>Workshop: web tracking analytics (2) </t>
  </si>
  <si>
    <t>Tracking de conversiones </t>
  </si>
  <si>
    <t>Visualización de datos y cuadros de mando (Google Data Studio) </t>
  </si>
  <si>
    <t>Del CRO al Product Led Growth. Herramientas IA en Analítica.</t>
  </si>
  <si>
    <t>Habilidades Digitales y Management</t>
  </si>
  <si>
    <t>A008117</t>
  </si>
  <si>
    <t>Mapa de Habilidades digitales y Aprendizaje continuo</t>
  </si>
  <si>
    <t>De la autogestión de Identidad Digital a la Marca Personal</t>
  </si>
  <si>
    <t>Presentación hitos mensuales TFM (9)</t>
  </si>
  <si>
    <t>Josep-Maria Fàbregas</t>
  </si>
  <si>
    <t>Trabajo Final de Máster</t>
  </si>
  <si>
    <t>A008118</t>
  </si>
  <si>
    <t>TFM</t>
  </si>
  <si>
    <t>Presentación del curso</t>
  </si>
  <si>
    <t>Hito #2
+ 
Memoria TFM
+
Evaluación mentoría</t>
  </si>
  <si>
    <t>Proyectos individuales: criterios selección, hitos, evaluación</t>
  </si>
  <si>
    <t>Proyectos individuales: inspiración ideas negocio</t>
  </si>
  <si>
    <t>Proyectos individuales: ODS y bienestar planetario</t>
  </si>
  <si>
    <t>Carolina Luis</t>
  </si>
  <si>
    <t>Proyectos individuales: omnicanalidad</t>
  </si>
  <si>
    <t>Definición proyecto individual (2)</t>
  </si>
  <si>
    <t>Workshop: definición estructura plan de MRD</t>
  </si>
  <si>
    <t>Modelo de negocio. MVP</t>
  </si>
  <si>
    <t>Escalabilidad de proyectos</t>
  </si>
  <si>
    <t>Individual performance review (4)</t>
  </si>
  <si>
    <t>Plan Económico (4)</t>
  </si>
  <si>
    <t>Andrei Boar</t>
  </si>
  <si>
    <t>Defensa TFM (4)</t>
  </si>
  <si>
    <t>JM Fàbregas / A.G. Pujadas</t>
  </si>
  <si>
    <t>C. Luis / J. Urbea</t>
  </si>
  <si>
    <t>TOTAL HORES</t>
  </si>
  <si>
    <t>#sessions</t>
  </si>
  <si>
    <t>Novetats (contingut, docent)</t>
  </si>
  <si>
    <t>Canvis (denominació, ubicació, hores)</t>
  </si>
  <si>
    <t>Eliminació (sessions)</t>
  </si>
  <si>
    <t>DIA FESTIVO</t>
  </si>
  <si>
    <t>activitat BSM</t>
  </si>
  <si>
    <t>SI</t>
  </si>
  <si>
    <t>DIA NO LECTIVO</t>
  </si>
  <si>
    <t xml:space="preserve">Gestión de Canales Propios </t>
  </si>
  <si>
    <t>Data Management &amp; Analítica online</t>
  </si>
  <si>
    <t xml:space="preserve">Conscious and Ethical Management’s Week </t>
  </si>
  <si>
    <t>TOTAL HORES PROFESSORES</t>
  </si>
  <si>
    <t>Estrategia de Marca y  Fundamentos de Marketing Relacional y Digital</t>
  </si>
  <si>
    <t>Habilidades Digitales y  Management</t>
  </si>
  <si>
    <t xml:space="preserve">LEARNING OBJECTIVES </t>
  </si>
  <si>
    <r>
      <t xml:space="preserve">CG01.LO 01. </t>
    </r>
    <r>
      <rPr>
        <b/>
        <sz val="11"/>
        <color rgb="FF000000"/>
        <rFont val="Calibri"/>
        <family val="2"/>
      </rPr>
      <t>Collaborative work.</t>
    </r>
  </si>
  <si>
    <t>Students will be able to work jointly in group learning activities or tasks so that the student participates in achieving a common, clearly defined goal.</t>
  </si>
  <si>
    <t>Reinforced</t>
  </si>
  <si>
    <r>
      <t xml:space="preserve">CG01.LO02. </t>
    </r>
    <r>
      <rPr>
        <b/>
        <sz val="11"/>
        <color rgb="FF000000"/>
        <rFont val="Calibri"/>
        <family val="2"/>
      </rPr>
      <t>Communication</t>
    </r>
    <r>
      <rPr>
        <sz val="11"/>
        <color rgb="FF000000"/>
        <rFont val="Calibri"/>
        <family val="2"/>
      </rPr>
      <t>.</t>
    </r>
  </si>
  <si>
    <t>Students will be able to communicate effectively and establish a positive and reliable relationship with any audience or interlocutor, in any context or field, by mastering the necessary resources.</t>
  </si>
  <si>
    <r>
      <t xml:space="preserve">CG01.LO03. </t>
    </r>
    <r>
      <rPr>
        <b/>
        <sz val="11"/>
        <color rgb="FF000000"/>
        <rFont val="Calibri"/>
        <family val="2"/>
      </rPr>
      <t>Global vision.</t>
    </r>
  </si>
  <si>
    <t>Students will be able to manage professional projects based on their motivations, strengths and values, with a broad vision that goes beyond their own context and seeks to overcome any obstacles that may arise.</t>
  </si>
  <si>
    <t>Emphasized</t>
  </si>
  <si>
    <r>
      <t xml:space="preserve">CG02.LO01 </t>
    </r>
    <r>
      <rPr>
        <b/>
        <sz val="11"/>
        <color rgb="FF000000"/>
        <rFont val="Calibri"/>
        <family val="2"/>
      </rPr>
      <t>Change management</t>
    </r>
    <r>
      <rPr>
        <sz val="11"/>
        <color rgb="FF000000"/>
        <rFont val="Calibri"/>
        <family val="2"/>
      </rPr>
      <t>.</t>
    </r>
  </si>
  <si>
    <t xml:space="preserve">Students will be able to make organisational or strategic adjustments that lead from a current state to a desired state in response to changes in the environment or needs of the situation.  </t>
  </si>
  <si>
    <r>
      <t xml:space="preserve">CG02.LO02. </t>
    </r>
    <r>
      <rPr>
        <b/>
        <sz val="11"/>
        <color rgb="FF000000"/>
        <rFont val="Calibri"/>
        <family val="2"/>
      </rPr>
      <t>Data and digital competence.</t>
    </r>
  </si>
  <si>
    <t>Students will be able to use information society technologies critically and safely for work and communication. Support basic ICT skills.</t>
  </si>
  <si>
    <r>
      <t xml:space="preserve">CG03.LO01. </t>
    </r>
    <r>
      <rPr>
        <b/>
        <sz val="11"/>
        <color rgb="FF000000"/>
        <rFont val="Calibri"/>
        <family val="2"/>
      </rPr>
      <t>Diversity and gender equality.</t>
    </r>
  </si>
  <si>
    <t>Students will develop the ability to evaluate inequalities based on sex and gender in order to design/generate/create solutions in their field of professional activity.</t>
  </si>
  <si>
    <r>
      <t xml:space="preserve">CG03.LO01. </t>
    </r>
    <r>
      <rPr>
        <b/>
        <sz val="11"/>
        <color rgb="FF000000"/>
        <rFont val="Calibri"/>
        <family val="2"/>
      </rPr>
      <t>Sustainability.</t>
    </r>
  </si>
  <si>
    <t>Students will be able to reflect on the rationalisation and efficiency of the use of resources in each action or project, and to assess the impact of the choices made in each specific case.</t>
  </si>
  <si>
    <t>MMDD-29</t>
  </si>
  <si>
    <t>COMENTARI</t>
  </si>
  <si>
    <t>VIATGES</t>
  </si>
  <si>
    <t>RESTAURACIÓ</t>
  </si>
  <si>
    <t>VISITES, INSCRIPCIONS CONGRESSOS I FIRES</t>
  </si>
  <si>
    <t>CASOS PRÀCTICS</t>
  </si>
  <si>
    <t>SUBSCRIPCIONS I QUOTES ASSOCIACIONS</t>
  </si>
  <si>
    <t>SOFTWARE</t>
  </si>
  <si>
    <t>Viatge Berta Garcia</t>
  </si>
  <si>
    <t>Avió Hamburg-BCN-Hamburg</t>
  </si>
  <si>
    <t>ANOTACIONS</t>
  </si>
  <si>
    <t>LES COMPRES S'HA DE GESTIONAR A TRAVÉS DEL GESTOR/A I EL DEPARTAMENT DE COMPRES DE L'ESCOLA AMB 1 MES D'ANTELACIÓ</t>
  </si>
  <si>
    <t>NO ES CONTEMPLEN LLIBRES PELS ALUMNES, NI FÍSICS NI DIGITALS</t>
  </si>
  <si>
    <t>ELS VIATGES I HOTELS ES FARAN SEGON POLÍTICA DE L'ESCOLA (CLASSE TURISTA I HOTEL DE 3 ESTRELLES)</t>
  </si>
  <si>
    <t>EL VIATGES DE FORA D'ESPANYA HAN DE JUSTIFICAR-SE</t>
  </si>
  <si>
    <t>S'HAURA DE PRIORITZAR EL SOFTWARE I PROGRAMARI LLIURE, EN CAS QUE NO SIGUI POSISBLES CALDRÀ JUSTFIFICAR-HO</t>
  </si>
  <si>
    <t>LES VISITES I DESPLAÇAMENTS DINTRE DE BARCELONA CIUTAT ES FARAN EN TRASPORT PÚBLIC</t>
  </si>
  <si>
    <t>ELS CASOS D'ESTUDI S'HA D'INTENTAR QUE SIGUIN PROPIS BSM</t>
  </si>
  <si>
    <t>EN GENERAL NO ES CONTEMPLA LA DESPESA EN CAFÈS NI COPES NI CÀTERING EN ELS ACTES DELS PROGRAMES.</t>
  </si>
  <si>
    <t>ES PROFESSORA?</t>
  </si>
  <si>
    <t>ASSIGNATURAS</t>
  </si>
  <si>
    <t>dia festiu</t>
  </si>
  <si>
    <t>NO</t>
  </si>
  <si>
    <t>asignatura 11</t>
  </si>
  <si>
    <t>asignatura 12</t>
  </si>
  <si>
    <t>asignatura 13</t>
  </si>
  <si>
    <t>asignatura 14</t>
  </si>
  <si>
    <t>asignatura 15</t>
  </si>
  <si>
    <t>asignatura 16</t>
  </si>
  <si>
    <t>asignatura 17</t>
  </si>
  <si>
    <t>asignatura 18</t>
  </si>
  <si>
    <t>asignatura 19</t>
  </si>
  <si>
    <t>asignatura 20</t>
  </si>
  <si>
    <t>asignatura 21</t>
  </si>
  <si>
    <t>asignatura 22</t>
  </si>
  <si>
    <t>asignatura 23</t>
  </si>
  <si>
    <t>asignatura 24</t>
  </si>
  <si>
    <t>asignatura 25</t>
  </si>
  <si>
    <t>asignatura 26</t>
  </si>
  <si>
    <t>asignatura 27</t>
  </si>
  <si>
    <t>asignatura 28</t>
  </si>
  <si>
    <t>asignatura 29</t>
  </si>
  <si>
    <t>asignatura 30</t>
  </si>
  <si>
    <t>asignatura 31</t>
  </si>
  <si>
    <t>asignatura 32</t>
  </si>
  <si>
    <t>asignatura 33</t>
  </si>
  <si>
    <t xml:space="preserve">Program Learning Objectives </t>
  </si>
  <si>
    <t>Objectives listed as a course/module objective on syllabu s</t>
  </si>
  <si>
    <t xml:space="preserve">Degree of emphasus given to objectiv in this course/module </t>
  </si>
  <si>
    <t xml:space="preserve">Student must demosatrte competence via an assigment </t>
  </si>
  <si>
    <t>Students receive feedback about their competence</t>
  </si>
  <si>
    <t>Yes</t>
  </si>
  <si>
    <t>Introduced</t>
  </si>
  <si>
    <t xml:space="preserve">No </t>
  </si>
  <si>
    <t xml:space="preserve">Not covered at all </t>
  </si>
  <si>
    <t xml:space="preserve">DÍA FESTIVO </t>
  </si>
  <si>
    <t>DÍA FESTIVO</t>
  </si>
  <si>
    <t>DÍA NO LECTIVO</t>
  </si>
  <si>
    <t xml:space="preserve">DÍA NO LECTIVO </t>
  </si>
  <si>
    <t>HORARIO TARDE</t>
  </si>
  <si>
    <t>Posible Fecha acto institucional inauguración curso académico 25/26</t>
  </si>
  <si>
    <t>Bienvenida Institucional UPF-BSM / Presentación Máster</t>
  </si>
  <si>
    <t>Proyectos individuales: inspiración ideas de negocio</t>
  </si>
  <si>
    <t>Mapa de habilidades digitales y aprendizaje continuo</t>
  </si>
  <si>
    <t>Definición proyecto individual (I)</t>
  </si>
  <si>
    <t>Definición proyecto individual (II)</t>
  </si>
  <si>
    <t>Definición estructura plan de MRD</t>
  </si>
  <si>
    <t>Presentación Hito #1: Habilidades Digitales y Management (Marca personal)</t>
  </si>
  <si>
    <t xml:space="preserve">Talent Boost Week  </t>
  </si>
  <si>
    <t>Mobile marketing: Apps y UX (I)</t>
  </si>
  <si>
    <t>Mobile marketing: Apps y UX (II)</t>
  </si>
  <si>
    <t>Presentación Hito #2: TFM (Definición del Proyecto)</t>
  </si>
  <si>
    <t>Posicionamiento orgánico (SEO) (I)</t>
  </si>
  <si>
    <t>Posicionamiento orgánico (SEO) (II)</t>
  </si>
  <si>
    <t>Fundamentos UX/UI (I)</t>
  </si>
  <si>
    <t>Fundamentos UX/UI (II)</t>
  </si>
  <si>
    <t>Presentación Hito #3: Estrategia de Marca y Fundamentos de MR y Digital</t>
  </si>
  <si>
    <t>Zoom principales canales: características y herramientas relacionadas</t>
  </si>
  <si>
    <t>Zoom en principales canales: características y herramientas relacionadas</t>
  </si>
  <si>
    <t>Individual performance review (TI) Sesión Zoom</t>
  </si>
  <si>
    <t>Conceptos fundamentales en eCommerce (I): productos físicos/digitales, canales, logística</t>
  </si>
  <si>
    <t>Conceptos fundamentales en eCommerce (II): clientes, pedidos, métodos de pago, métricas</t>
  </si>
  <si>
    <t>Plataformas tecnológicas en eCommerce</t>
  </si>
  <si>
    <t>Introducción a los Fundamentos Tech para Marketers</t>
  </si>
  <si>
    <t>Presentación Hito #4: Gestión canales</t>
  </si>
  <si>
    <t>Conferencia MarTech (I): IA en MarTech</t>
  </si>
  <si>
    <t>Ciclo de relación cliente-marca. Funnel y CJ de captación</t>
  </si>
  <si>
    <t>Estrategias de captación (I): notoriedad y generación de leads</t>
  </si>
  <si>
    <t>Estrategias de captación (II): compra y recuperación</t>
  </si>
  <si>
    <t>Cómo captar eficazmente: ingredientes de la oferta</t>
  </si>
  <si>
    <t>Behavioral Science: las palancas de la motivación humana</t>
  </si>
  <si>
    <t>Product Led Growth (I)</t>
  </si>
  <si>
    <t>Presentación Hito #5: E-commerce</t>
  </si>
  <si>
    <t>Product Led Growth (II)</t>
  </si>
  <si>
    <t>Planificación de medios online: estrategia y casos (I)</t>
  </si>
  <si>
    <t>Planificación de medios online: estrategia y casos (II)</t>
  </si>
  <si>
    <t>Workshop Google ads: setup campañas</t>
  </si>
  <si>
    <t>Workshop Google ads: lanzamiento campañas</t>
  </si>
  <si>
    <t>Workshop Facebook/IG ads: setup y lanzamiento campañas</t>
  </si>
  <si>
    <t>Individual performance review (T2). Sesión Zoom</t>
  </si>
  <si>
    <t>Datos y análisis: infraestructura, herramientas y programación</t>
  </si>
  <si>
    <t>Conferencia MarTech (II): IoT update</t>
  </si>
  <si>
    <t>Presentación Hito #6: Estrategias de Captación &amp; Medios Pagados</t>
  </si>
  <si>
    <t>Presentación Hito #7: Fundamentos de Tecnología para Marketing</t>
  </si>
  <si>
    <t>Cuándo y cómo comunicar: MoT, plan de contactos &amp; automatización</t>
  </si>
  <si>
    <t>Workshop: web tracking analytics (I) </t>
  </si>
  <si>
    <t>Workshop: web tracking analytics (II) </t>
  </si>
  <si>
    <t>Presentación Hito #8: Estrategias de Fidelización</t>
  </si>
  <si>
    <t>Plan Económico (I)</t>
  </si>
  <si>
    <t>Plan Económico (II)</t>
  </si>
  <si>
    <t>Plan Económico (III)</t>
  </si>
  <si>
    <t>Plan Económico (IV)</t>
  </si>
  <si>
    <t>Presentación Hito #9: Data management &amp; Analítica online</t>
  </si>
  <si>
    <t>Defensa TFM. Entrega TFM (memoria + ppt)</t>
  </si>
  <si>
    <t>Defensa TFM</t>
  </si>
  <si>
    <t>Student Project Awards 24/25</t>
  </si>
  <si>
    <t>Faculty Acknowledgement Day  24/25</t>
  </si>
  <si>
    <t>Festival de las Humanidades</t>
  </si>
  <si>
    <t>Lina Micó</t>
  </si>
  <si>
    <t>Cómo construir un eCommerce con foco en la conversión: funnel, automatización, herramientas</t>
  </si>
  <si>
    <t>Día</t>
  </si>
  <si>
    <t>Fecha</t>
  </si>
  <si>
    <t>Hora inicio</t>
  </si>
  <si>
    <t>Hora final</t>
  </si>
  <si>
    <t>Horas totales</t>
  </si>
  <si>
    <t>Nombre asignatura</t>
  </si>
  <si>
    <t>Nombre sesión</t>
  </si>
  <si>
    <t>Docente 1</t>
  </si>
  <si>
    <t>Docente 2</t>
  </si>
  <si>
    <t xml:space="preserve"> Es profesora?</t>
  </si>
  <si>
    <t>#Sess</t>
  </si>
  <si>
    <t>#Sess/Trim</t>
  </si>
  <si>
    <t>Hores JMF</t>
  </si>
  <si>
    <r>
      <t xml:space="preserve">Bienvenida Institucional UPF-BSM / </t>
    </r>
    <r>
      <rPr>
        <b/>
        <sz val="10"/>
        <rFont val="Calibri"/>
        <family val="2"/>
        <scheme val="minor"/>
      </rPr>
      <t xml:space="preserve">Presentación Máster </t>
    </r>
  </si>
  <si>
    <t>Albert Garcia Pujadas</t>
  </si>
  <si>
    <t>Actividad BSM</t>
  </si>
  <si>
    <t xml:space="preserve">Inauguración Curso Académico </t>
  </si>
  <si>
    <t>A valorar por la DA si hay clase</t>
  </si>
  <si>
    <t xml:space="preserve">Carolina Luis </t>
  </si>
  <si>
    <t>DIA  FESTIVO</t>
  </si>
  <si>
    <t xml:space="preserve">Eduard Mas </t>
  </si>
  <si>
    <t>TALENT BOOST WEEK</t>
  </si>
  <si>
    <t>CULTURAL WEEK</t>
  </si>
  <si>
    <t>Anna Burón</t>
  </si>
  <si>
    <t>No hay clase</t>
  </si>
  <si>
    <t>INTENTAR NO PONER CLASE</t>
  </si>
  <si>
    <t>JM Fàbregas/ A.G. Pujadas</t>
  </si>
  <si>
    <t>C. Luis/ J. Urbea</t>
  </si>
  <si>
    <t>J. Urbea</t>
  </si>
  <si>
    <t>Gemma Cid</t>
  </si>
  <si>
    <t>Posicionamiento orgánico (SEO). Herramientas IA en SEO (4)</t>
  </si>
  <si>
    <t>Workshop Google ads: lanzamiento campañas (2)</t>
  </si>
  <si>
    <t>Cómo desarrollar los canales de venta externos: marketplaces y social commerce (2)</t>
  </si>
  <si>
    <t>PONENTES</t>
  </si>
  <si>
    <t>Fundamentos de UX/UI (2)</t>
  </si>
  <si>
    <t>Hito #1
+ 
Presentaciones hitos
+
Asist. pres. finales</t>
  </si>
  <si>
    <t>Conocimiento del cliente: buyer persona y customer journey (2)</t>
  </si>
  <si>
    <t>PREVISIO DE DESPESES NO DOCENTS  CURS 25-26</t>
  </si>
  <si>
    <t>Conocimiento del cliente: buyer persona (B2C, B2B)</t>
  </si>
  <si>
    <t>Análisis entorno y marco competitivo. Benchmark digital</t>
  </si>
  <si>
    <t>Presentación Hito #1: Habilidades Digitales y Management</t>
  </si>
  <si>
    <t>Adaptación profesional a la IA: Upskilling, Unskilling y Reskilling (I)</t>
  </si>
  <si>
    <t>Adaptación profesional a la IA: Upskilling, Unskilling y Reskilling (II)</t>
  </si>
  <si>
    <t>Posicionamiento orgánico (SEO) (III)</t>
  </si>
  <si>
    <t>Posicionamiento orgánico (SEO) (IV)</t>
  </si>
  <si>
    <t>Cómo desarrollar los canales de venta externos: marketplaces y social commerce (I)</t>
  </si>
  <si>
    <t>Cómo desarrollar los canales de venta externos: marketplaces y social commerce (II)</t>
  </si>
  <si>
    <t>Presentación Hito #4: Gestión canales propios</t>
  </si>
  <si>
    <t>Workshop Google ads: lanzamiento campañas (I)</t>
  </si>
  <si>
    <t>Workshop Google ads: lanzamiento campañas (II)</t>
  </si>
  <si>
    <t>Conferencia MarTech (I)</t>
  </si>
  <si>
    <t>Conferencia MarTech (II)</t>
  </si>
  <si>
    <t>Conferencias MarTech (2)</t>
  </si>
  <si>
    <t>Defensa TFM. Entrega TFM (ppt)</t>
  </si>
  <si>
    <t>Presentación hitos mensuales TFM (8)</t>
  </si>
  <si>
    <t xml:space="preserve"> ¿Es profesora?</t>
  </si>
  <si>
    <t>OBSERVACIONES</t>
  </si>
  <si>
    <t>#Sesiones</t>
  </si>
  <si>
    <t>#Ses/Trim</t>
  </si>
  <si>
    <t>Presentación Hito #8: Data Management &amp; Analítica online</t>
  </si>
  <si>
    <t>Presentación Hito #7: Estrategias de Fidelización</t>
  </si>
  <si>
    <t>Laura Fernández</t>
  </si>
  <si>
    <t>Hito #1 +  Pres. hitos +
Trabajo colaborativo</t>
  </si>
  <si>
    <t>[Provisional] Adaptación profesional a la IA: Upskilling, Unskilling y Reskilling (2)</t>
  </si>
  <si>
    <t>DIA NO LECTIVO. Entrega TFM (memoria)</t>
  </si>
  <si>
    <t>Individual performance review (T2). Sesión online</t>
  </si>
  <si>
    <t>Individual performance review (TI) Sesión online</t>
  </si>
  <si>
    <t>Conocimiento del cliente: buyer persona, customer journey (B2C, B2B)</t>
  </si>
  <si>
    <t>Oportunidad de negocio. Planificación estratégica de marca (I)</t>
  </si>
  <si>
    <t>Planificación estratégica de marca (II)</t>
  </si>
  <si>
    <t>Planificación de RRSS</t>
  </si>
  <si>
    <t>Zoom en RRSS más relevantes</t>
  </si>
  <si>
    <t>Social selling &amp; influencers</t>
  </si>
  <si>
    <t>Herramientas, estadísticas y reporting</t>
  </si>
  <si>
    <t>Marco jurídico aplicable al marketing digital</t>
  </si>
  <si>
    <t>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</si>
</sst>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d"/>
    <numFmt numFmtId="166" formatCode="[h]:mm:ss;@"/>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color rgb="FFFF0000"/>
      <name val="Calibri"/>
      <family val="2"/>
      <scheme val="minor"/>
    </font>
    <font>
      <sz val="9"/>
      <color theme="1"/>
      <name val="Calibri"/>
      <family val="2"/>
      <scheme val="minor"/>
    </font>
    <font>
      <b/>
      <sz val="11"/>
      <color rgb="FFC00000"/>
      <name val="Calibri"/>
      <family val="2"/>
      <scheme val="minor"/>
    </font>
    <font>
      <sz val="8"/>
      <name val="Calibri"/>
      <family val="2"/>
      <scheme val="minor"/>
    </font>
    <font>
      <sz val="10"/>
      <color theme="1"/>
      <name val="Calibri"/>
      <family val="2"/>
      <scheme val="minor"/>
    </font>
    <font>
      <sz val="8"/>
      <color theme="1"/>
      <name val="Calibri"/>
      <family val="2"/>
      <scheme val="minor"/>
    </font>
    <font>
      <sz val="11"/>
      <color theme="0"/>
      <name val="Calibri"/>
      <family val="2"/>
      <scheme val="minor"/>
    </font>
    <font>
      <sz val="11"/>
      <color rgb="FF000000"/>
      <name val="Calibri"/>
      <family val="2"/>
    </font>
    <font>
      <b/>
      <sz val="11"/>
      <color rgb="FF000000"/>
      <name val="Calibri"/>
      <family val="2"/>
    </font>
    <font>
      <sz val="11"/>
      <color rgb="FF000000"/>
      <name val="Calibri"/>
      <family val="2"/>
      <scheme val="minor"/>
    </font>
    <font>
      <sz val="11"/>
      <color rgb="FFFFFFFF"/>
      <name val="Calibri"/>
      <family val="2"/>
      <scheme val="minor"/>
    </font>
    <font>
      <sz val="11"/>
      <name val="Calibri"/>
      <family val="2"/>
    </font>
    <font>
      <b/>
      <sz val="10"/>
      <color theme="0"/>
      <name val="Calibri"/>
      <family val="2"/>
      <scheme val="minor"/>
    </font>
    <font>
      <b/>
      <sz val="16"/>
      <color theme="1"/>
      <name val="Calibri"/>
      <family val="2"/>
      <scheme val="minor"/>
    </font>
    <font>
      <b/>
      <sz val="10"/>
      <color indexed="9"/>
      <name val="Calibri"/>
      <family val="2"/>
    </font>
    <font>
      <b/>
      <sz val="8"/>
      <color theme="1"/>
      <name val="Calibri"/>
      <family val="2"/>
      <scheme val="minor"/>
    </font>
    <font>
      <b/>
      <sz val="9"/>
      <name val="Calibri"/>
      <family val="2"/>
      <scheme val="minor"/>
    </font>
    <font>
      <sz val="9"/>
      <name val="Calibri"/>
      <family val="2"/>
      <scheme val="minor"/>
    </font>
    <font>
      <b/>
      <sz val="9"/>
      <color theme="0"/>
      <name val="Calibri"/>
      <family val="2"/>
      <scheme val="minor"/>
    </font>
    <font>
      <sz val="9"/>
      <color theme="0"/>
      <name val="Calibri"/>
      <family val="2"/>
      <scheme val="minor"/>
    </font>
    <font>
      <b/>
      <sz val="9"/>
      <color theme="1"/>
      <name val="Calibri"/>
      <family val="2"/>
      <scheme val="minor"/>
    </font>
    <font>
      <b/>
      <sz val="9"/>
      <color rgb="FFC00000"/>
      <name val="Calibri"/>
      <family val="2"/>
      <scheme val="minor"/>
    </font>
    <font>
      <b/>
      <sz val="11"/>
      <color theme="0"/>
      <name val="Calibri"/>
      <family val="2"/>
      <scheme val="minor"/>
    </font>
    <font>
      <b/>
      <sz val="11"/>
      <name val="Calibri"/>
      <family val="2"/>
      <scheme val="minor"/>
    </font>
    <font>
      <sz val="10"/>
      <name val="Calibri"/>
      <family val="2"/>
      <scheme val="minor"/>
    </font>
    <font>
      <b/>
      <sz val="10"/>
      <name val="Calibri"/>
      <family val="2"/>
      <scheme val="minor"/>
    </font>
    <font>
      <b/>
      <sz val="10"/>
      <color theme="1"/>
      <name val="Calibri"/>
      <family val="2"/>
      <scheme val="minor"/>
    </font>
  </fonts>
  <fills count="16">
    <fill>
      <patternFill patternType="none"/>
    </fill>
    <fill>
      <patternFill patternType="gray125"/>
    </fill>
    <fill>
      <patternFill patternType="solid">
        <fgColor rgb="FFC0000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rgb="FFC00000"/>
        <bgColor rgb="FF000000"/>
      </patternFill>
    </fill>
    <fill>
      <patternFill patternType="solid">
        <fgColor theme="0"/>
        <bgColor theme="0" tint="-0.14999847407452621"/>
      </patternFill>
    </fill>
    <fill>
      <patternFill patternType="solid">
        <fgColor rgb="FF92D050"/>
        <bgColor indexed="64"/>
      </patternFill>
    </fill>
    <fill>
      <patternFill patternType="solid">
        <fgColor theme="5" tint="0.39997558519241921"/>
        <bgColor indexed="64"/>
      </patternFill>
    </fill>
    <fill>
      <patternFill patternType="solid">
        <fgColor rgb="FF92D050"/>
        <bgColor rgb="FF000000"/>
      </patternFill>
    </fill>
    <fill>
      <patternFill patternType="solid">
        <fgColor rgb="FF00B0F0"/>
        <bgColor indexed="64"/>
      </patternFill>
    </fill>
  </fills>
  <borders count="23">
    <border>
      <left/>
      <right/>
      <top/>
      <bottom/>
      <diagonal/>
    </border>
    <border>
      <left style="thin">
        <color rgb="FFC00000"/>
      </left>
      <right style="thin">
        <color rgb="FFC00000"/>
      </right>
      <top style="thin">
        <color rgb="FFC00000"/>
      </top>
      <bottom style="thin">
        <color rgb="FFC00000"/>
      </bottom>
      <diagonal/>
    </border>
    <border>
      <left style="thin">
        <color rgb="FFC00000"/>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rgb="FFC00000"/>
      </right>
      <top style="thin">
        <color rgb="FFC00000"/>
      </top>
      <bottom/>
      <diagonal/>
    </border>
    <border>
      <left style="thin">
        <color rgb="FFFF0000"/>
      </left>
      <right style="thin">
        <color rgb="FFC00000"/>
      </right>
      <top style="thin">
        <color rgb="FFC00000"/>
      </top>
      <bottom style="thin">
        <color rgb="FFC00000"/>
      </bottom>
      <diagonal/>
    </border>
    <border>
      <left/>
      <right style="thin">
        <color rgb="FFC00000"/>
      </right>
      <top/>
      <bottom/>
      <diagonal/>
    </border>
    <border>
      <left/>
      <right style="thin">
        <color rgb="FFC00000"/>
      </right>
      <top/>
      <bottom style="thin">
        <color rgb="FFC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rgb="FFFF0000"/>
      </bottom>
      <diagonal/>
    </border>
    <border>
      <left/>
      <right style="thin">
        <color indexed="64"/>
      </right>
      <top/>
      <bottom/>
      <diagonal/>
    </border>
    <border>
      <left style="thin">
        <color indexed="64"/>
      </left>
      <right/>
      <top style="thin">
        <color indexed="64"/>
      </top>
      <bottom style="thin">
        <color indexed="64"/>
      </bottom>
      <diagonal/>
    </border>
    <border>
      <left style="thin">
        <color rgb="FFC00000"/>
      </left>
      <right style="thin">
        <color rgb="FFC00000"/>
      </right>
      <top style="thin">
        <color rgb="FFC00000"/>
      </top>
      <bottom/>
      <diagonal/>
    </border>
    <border>
      <left style="thin">
        <color rgb="FFC00000"/>
      </left>
      <right/>
      <top/>
      <bottom style="thin">
        <color rgb="FFC00000"/>
      </bottom>
      <diagonal/>
    </border>
    <border>
      <left style="thin">
        <color rgb="FFC00000"/>
      </left>
      <right style="thin">
        <color rgb="FFC00000"/>
      </right>
      <top/>
      <bottom style="thin">
        <color rgb="FFC00000"/>
      </bottom>
      <diagonal/>
    </border>
  </borders>
  <cellStyleXfs count="3">
    <xf numFmtId="0" fontId="0" fillId="0" borderId="0"/>
    <xf numFmtId="0" fontId="1" fillId="0" borderId="0"/>
    <xf numFmtId="9" fontId="1" fillId="0" borderId="0" applyFont="0" applyFill="0" applyBorder="0" applyAlignment="0" applyProtection="0"/>
  </cellStyleXfs>
  <cellXfs count="482">
    <xf numFmtId="0" fontId="0" fillId="0" borderId="0" xfId="0"/>
    <xf numFmtId="0" fontId="0" fillId="0" borderId="0" xfId="0" applyAlignment="1">
      <alignment horizontal="center"/>
    </xf>
    <xf numFmtId="0" fontId="4" fillId="0" borderId="0" xfId="0" applyFont="1"/>
    <xf numFmtId="0" fontId="5" fillId="0" borderId="5" xfId="0" applyFont="1" applyBorder="1"/>
    <xf numFmtId="0" fontId="5" fillId="0" borderId="5" xfId="0" applyFont="1" applyBorder="1" applyAlignment="1">
      <alignment wrapText="1"/>
    </xf>
    <xf numFmtId="0" fontId="6" fillId="0" borderId="0" xfId="0" applyFont="1"/>
    <xf numFmtId="0" fontId="5" fillId="0" borderId="5" xfId="0" applyFont="1" applyBorder="1" applyAlignment="1">
      <alignment horizontal="left"/>
    </xf>
    <xf numFmtId="0" fontId="5" fillId="0" borderId="5" xfId="0" applyFont="1" applyBorder="1" applyAlignment="1">
      <alignment horizontal="left" wrapText="1"/>
    </xf>
    <xf numFmtId="0" fontId="13" fillId="0" borderId="13" xfId="0" applyFont="1" applyBorder="1" applyAlignment="1">
      <alignment vertical="top" wrapText="1"/>
    </xf>
    <xf numFmtId="0" fontId="14" fillId="10" borderId="14" xfId="0" applyFont="1" applyFill="1" applyBorder="1" applyAlignment="1">
      <alignment horizontal="left" vertical="top" wrapText="1"/>
    </xf>
    <xf numFmtId="0" fontId="13" fillId="0" borderId="15" xfId="0" applyFont="1" applyBorder="1" applyAlignment="1">
      <alignment vertical="top" wrapText="1"/>
    </xf>
    <xf numFmtId="0" fontId="9" fillId="0" borderId="0" xfId="0" applyFont="1" applyAlignment="1">
      <alignment horizontal="center" vertical="center" wrapText="1"/>
    </xf>
    <xf numFmtId="0" fontId="9" fillId="11" borderId="0" xfId="0" applyFont="1" applyFill="1" applyAlignment="1">
      <alignment horizontal="center" vertical="center" wrapText="1"/>
    </xf>
    <xf numFmtId="0" fontId="9" fillId="5" borderId="0" xfId="0" applyFont="1" applyFill="1" applyAlignment="1">
      <alignment horizontal="center" vertical="center" wrapText="1"/>
    </xf>
    <xf numFmtId="0" fontId="13" fillId="0" borderId="5" xfId="0" applyFont="1" applyBorder="1" applyAlignment="1">
      <alignment vertical="top" wrapText="1"/>
    </xf>
    <xf numFmtId="0" fontId="11" fillId="0" borderId="5" xfId="0" applyFont="1" applyBorder="1" applyAlignment="1">
      <alignment horizontal="left" vertical="center" wrapText="1"/>
    </xf>
    <xf numFmtId="0" fontId="16" fillId="2" borderId="5" xfId="0" applyFont="1" applyFill="1" applyBorder="1" applyAlignment="1">
      <alignment horizontal="center" vertical="center" wrapText="1"/>
    </xf>
    <xf numFmtId="1" fontId="16" fillId="2" borderId="5" xfId="0" applyNumberFormat="1" applyFont="1" applyFill="1" applyBorder="1" applyAlignment="1">
      <alignment horizontal="center" vertical="center" wrapText="1"/>
    </xf>
    <xf numFmtId="0" fontId="16" fillId="2" borderId="19" xfId="0" applyFont="1" applyFill="1" applyBorder="1" applyAlignment="1">
      <alignment horizontal="center" vertical="center" wrapText="1"/>
    </xf>
    <xf numFmtId="0" fontId="2" fillId="0" borderId="5" xfId="0" applyFont="1" applyBorder="1" applyAlignment="1">
      <alignment horizontal="center" vertical="center" wrapText="1"/>
    </xf>
    <xf numFmtId="0" fontId="8" fillId="6" borderId="5" xfId="0" applyFont="1" applyFill="1" applyBorder="1" applyAlignment="1">
      <alignment horizontal="left" vertical="center" wrapText="1"/>
    </xf>
    <xf numFmtId="0" fontId="8" fillId="6" borderId="5" xfId="0" applyFont="1" applyFill="1" applyBorder="1" applyAlignment="1">
      <alignment horizontal="center" vertical="center" wrapText="1"/>
    </xf>
    <xf numFmtId="1" fontId="8" fillId="6" borderId="5" xfId="0" applyNumberFormat="1" applyFont="1" applyFill="1" applyBorder="1" applyAlignment="1">
      <alignment horizontal="center" vertical="center" wrapText="1"/>
    </xf>
    <xf numFmtId="0" fontId="8" fillId="0" borderId="5" xfId="0" applyFont="1"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xf>
    <xf numFmtId="0" fontId="0" fillId="12" borderId="5" xfId="0" applyFill="1" applyBorder="1" applyAlignment="1">
      <alignment horizontal="center" vertical="center"/>
    </xf>
    <xf numFmtId="0" fontId="0" fillId="0" borderId="5" xfId="0" applyBorder="1" applyAlignment="1">
      <alignment horizontal="center" vertical="center"/>
    </xf>
    <xf numFmtId="0" fontId="0" fillId="12" borderId="5" xfId="0" applyFill="1" applyBorder="1" applyAlignment="1">
      <alignment vertical="center"/>
    </xf>
    <xf numFmtId="0" fontId="5" fillId="0" borderId="10" xfId="0" applyFont="1"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vertical="center" wrapText="1"/>
    </xf>
    <xf numFmtId="0" fontId="0" fillId="0" borderId="0" xfId="0" applyAlignment="1">
      <alignment vertical="center"/>
    </xf>
    <xf numFmtId="0" fontId="0" fillId="0" borderId="19" xfId="0" applyBorder="1" applyAlignment="1">
      <alignment horizontal="center" vertical="center"/>
    </xf>
    <xf numFmtId="0" fontId="0" fillId="0" borderId="19" xfId="0" applyBorder="1" applyAlignment="1">
      <alignment vertical="center"/>
    </xf>
    <xf numFmtId="0" fontId="0" fillId="9" borderId="5" xfId="0" applyFill="1" applyBorder="1" applyAlignment="1">
      <alignment horizontal="center" vertical="center"/>
    </xf>
    <xf numFmtId="0" fontId="15" fillId="0" borderId="5" xfId="0" applyFont="1" applyBorder="1" applyAlignment="1">
      <alignment horizontal="left" vertical="center" wrapText="1"/>
    </xf>
    <xf numFmtId="0" fontId="13" fillId="0" borderId="5" xfId="0" applyFont="1" applyBorder="1" applyAlignment="1">
      <alignment horizontal="center" vertical="center"/>
    </xf>
    <xf numFmtId="0" fontId="0" fillId="0" borderId="5" xfId="0" applyBorder="1" applyAlignment="1">
      <alignment horizontal="left" vertical="center"/>
    </xf>
    <xf numFmtId="0" fontId="2" fillId="4" borderId="5" xfId="0" applyFont="1" applyFill="1" applyBorder="1" applyAlignment="1">
      <alignment horizontal="center" vertical="center"/>
    </xf>
    <xf numFmtId="1" fontId="2" fillId="4" borderId="5" xfId="0" applyNumberFormat="1" applyFont="1" applyFill="1" applyBorder="1" applyAlignment="1">
      <alignment horizontal="center" vertical="center"/>
    </xf>
    <xf numFmtId="0" fontId="2" fillId="0" borderId="5" xfId="0" applyFont="1" applyBorder="1" applyAlignment="1">
      <alignment horizontal="right" vertical="center"/>
    </xf>
    <xf numFmtId="1" fontId="0" fillId="0" borderId="5" xfId="0" applyNumberFormat="1" applyBorder="1" applyAlignment="1">
      <alignment vertical="center"/>
    </xf>
    <xf numFmtId="9" fontId="0" fillId="0" borderId="5" xfId="2" applyFont="1" applyBorder="1" applyAlignment="1">
      <alignment horizontal="center" vertical="center"/>
    </xf>
    <xf numFmtId="0" fontId="2" fillId="12" borderId="4" xfId="0" applyFont="1" applyFill="1" applyBorder="1" applyAlignment="1">
      <alignment horizontal="center" vertical="center"/>
    </xf>
    <xf numFmtId="0" fontId="2" fillId="9" borderId="4" xfId="0" applyFont="1" applyFill="1" applyBorder="1" applyAlignment="1">
      <alignment horizontal="center" vertical="center"/>
    </xf>
    <xf numFmtId="0" fontId="2" fillId="8" borderId="4" xfId="0" applyFont="1" applyFill="1" applyBorder="1" applyAlignment="1">
      <alignment horizontal="center" vertical="center"/>
    </xf>
    <xf numFmtId="0" fontId="0" fillId="0" borderId="0" xfId="0" applyAlignment="1">
      <alignment horizontal="center" vertical="center"/>
    </xf>
    <xf numFmtId="0" fontId="2" fillId="0" borderId="0" xfId="0" applyFont="1"/>
    <xf numFmtId="4" fontId="0" fillId="0" borderId="0" xfId="0" applyNumberFormat="1"/>
    <xf numFmtId="4" fontId="0" fillId="0" borderId="0" xfId="0" applyNumberFormat="1" applyAlignment="1">
      <alignment horizontal="right"/>
    </xf>
    <xf numFmtId="0" fontId="17" fillId="0" borderId="0" xfId="0" applyFont="1"/>
    <xf numFmtId="4" fontId="0" fillId="0" borderId="0" xfId="0" applyNumberFormat="1" applyAlignment="1">
      <alignment horizontal="center"/>
    </xf>
    <xf numFmtId="0" fontId="18" fillId="2" borderId="20" xfId="0" applyFont="1" applyFill="1" applyBorder="1" applyAlignment="1">
      <alignment horizontal="left" vertical="center" wrapText="1"/>
    </xf>
    <xf numFmtId="0" fontId="18" fillId="2" borderId="21"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left" vertical="center"/>
    </xf>
    <xf numFmtId="0" fontId="6"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19" fillId="11" borderId="5"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0" xfId="0" applyFont="1"/>
    <xf numFmtId="0" fontId="21" fillId="7" borderId="1" xfId="0" applyFont="1" applyFill="1" applyBorder="1" applyAlignment="1">
      <alignment horizontal="left" vertical="center"/>
    </xf>
    <xf numFmtId="0" fontId="5" fillId="0" borderId="0" xfId="0" applyFont="1"/>
    <xf numFmtId="1" fontId="21" fillId="5" borderId="1" xfId="0" applyNumberFormat="1" applyFont="1" applyFill="1" applyBorder="1" applyAlignment="1">
      <alignment horizontal="center" vertical="center"/>
    </xf>
    <xf numFmtId="14" fontId="20" fillId="5" borderId="1" xfId="0" applyNumberFormat="1" applyFont="1" applyFill="1" applyBorder="1" applyAlignment="1">
      <alignment horizontal="center" vertical="center"/>
    </xf>
    <xf numFmtId="164" fontId="20" fillId="5" borderId="1" xfId="0" applyNumberFormat="1" applyFont="1" applyFill="1" applyBorder="1" applyAlignment="1">
      <alignment horizontal="center" vertical="center"/>
    </xf>
    <xf numFmtId="164" fontId="22" fillId="5" borderId="1" xfId="0" applyNumberFormat="1" applyFont="1" applyFill="1" applyBorder="1" applyAlignment="1">
      <alignment horizontal="center" vertical="center"/>
    </xf>
    <xf numFmtId="0" fontId="22" fillId="5" borderId="1" xfId="0" applyFont="1" applyFill="1" applyBorder="1" applyAlignment="1">
      <alignment horizontal="center" vertical="center"/>
    </xf>
    <xf numFmtId="1" fontId="21" fillId="0" borderId="1" xfId="0" applyNumberFormat="1"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164" fontId="20" fillId="0" borderId="1" xfId="0" applyNumberFormat="1" applyFont="1" applyBorder="1" applyAlignment="1">
      <alignment horizontal="center" vertical="center"/>
    </xf>
    <xf numFmtId="164"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1" fontId="21" fillId="3" borderId="1" xfId="0" applyNumberFormat="1" applyFont="1" applyFill="1" applyBorder="1" applyAlignment="1">
      <alignment horizontal="center" vertical="center"/>
    </xf>
    <xf numFmtId="14" fontId="20" fillId="3" borderId="1" xfId="0" applyNumberFormat="1" applyFont="1" applyFill="1" applyBorder="1" applyAlignment="1">
      <alignment horizontal="center" vertical="center"/>
    </xf>
    <xf numFmtId="164" fontId="20" fillId="3" borderId="1" xfId="0" applyNumberFormat="1" applyFont="1" applyFill="1" applyBorder="1" applyAlignment="1">
      <alignment horizontal="center" vertical="center"/>
    </xf>
    <xf numFmtId="0" fontId="20" fillId="3" borderId="1" xfId="0" applyFont="1" applyFill="1" applyBorder="1" applyAlignment="1">
      <alignment horizontal="center" vertical="center"/>
    </xf>
    <xf numFmtId="0" fontId="20" fillId="5" borderId="1" xfId="0" applyFont="1" applyFill="1" applyBorder="1" applyAlignment="1">
      <alignment horizontal="center" vertical="center"/>
    </xf>
    <xf numFmtId="0" fontId="5" fillId="5" borderId="0" xfId="0" applyFont="1" applyFill="1"/>
    <xf numFmtId="1" fontId="21" fillId="6" borderId="1" xfId="0" applyNumberFormat="1" applyFont="1" applyFill="1" applyBorder="1" applyAlignment="1">
      <alignment horizontal="center" vertical="center"/>
    </xf>
    <xf numFmtId="164" fontId="20" fillId="6" borderId="1" xfId="0" applyNumberFormat="1" applyFont="1" applyFill="1" applyBorder="1" applyAlignment="1">
      <alignment horizontal="center" vertical="center"/>
    </xf>
    <xf numFmtId="14" fontId="20" fillId="0" borderId="1" xfId="0" applyNumberFormat="1" applyFont="1" applyBorder="1" applyAlignment="1">
      <alignment horizontal="center" vertical="center"/>
    </xf>
    <xf numFmtId="1" fontId="21" fillId="7" borderId="1" xfId="0" applyNumberFormat="1" applyFont="1" applyFill="1" applyBorder="1" applyAlignment="1">
      <alignment horizontal="center" vertical="center"/>
    </xf>
    <xf numFmtId="14" fontId="20" fillId="7" borderId="1" xfId="0" applyNumberFormat="1" applyFont="1" applyFill="1" applyBorder="1" applyAlignment="1">
      <alignment horizontal="center" vertical="center"/>
    </xf>
    <xf numFmtId="0" fontId="20" fillId="7" borderId="1" xfId="0" applyFont="1" applyFill="1" applyBorder="1" applyAlignment="1">
      <alignment horizontal="center" vertical="center"/>
    </xf>
    <xf numFmtId="0" fontId="22" fillId="0" borderId="2" xfId="0" applyFont="1" applyBorder="1" applyAlignment="1">
      <alignment horizontal="center" vertical="center"/>
    </xf>
    <xf numFmtId="0" fontId="20" fillId="0" borderId="3" xfId="0" applyFont="1" applyBorder="1" applyAlignment="1">
      <alignment horizontal="center" vertical="center"/>
    </xf>
    <xf numFmtId="164" fontId="22" fillId="3" borderId="1" xfId="0" applyNumberFormat="1" applyFont="1" applyFill="1" applyBorder="1" applyAlignment="1">
      <alignment horizontal="center" vertical="center"/>
    </xf>
    <xf numFmtId="0" fontId="22" fillId="3" borderId="2" xfId="0" applyFont="1" applyFill="1" applyBorder="1" applyAlignment="1">
      <alignment horizontal="center" vertical="center"/>
    </xf>
    <xf numFmtId="0" fontId="20" fillId="3" borderId="3" xfId="0" applyFont="1" applyFill="1" applyBorder="1" applyAlignment="1">
      <alignment horizontal="center" vertical="center"/>
    </xf>
    <xf numFmtId="1" fontId="21" fillId="5" borderId="1" xfId="1" applyNumberFormat="1" applyFont="1" applyFill="1" applyBorder="1" applyAlignment="1">
      <alignment horizontal="center"/>
    </xf>
    <xf numFmtId="14" fontId="20" fillId="5" borderId="1" xfId="1" applyNumberFormat="1" applyFont="1" applyFill="1" applyBorder="1" applyAlignment="1">
      <alignment horizontal="center"/>
    </xf>
    <xf numFmtId="0" fontId="21" fillId="5" borderId="1" xfId="0" applyFont="1" applyFill="1" applyBorder="1" applyAlignment="1">
      <alignment horizontal="center"/>
    </xf>
    <xf numFmtId="0" fontId="21" fillId="5" borderId="0" xfId="0" applyFont="1" applyFill="1"/>
    <xf numFmtId="1" fontId="5" fillId="5" borderId="1" xfId="1" applyNumberFormat="1" applyFont="1" applyFill="1" applyBorder="1" applyAlignment="1">
      <alignment horizontal="center"/>
    </xf>
    <xf numFmtId="164" fontId="5" fillId="5" borderId="1" xfId="0" applyNumberFormat="1" applyFont="1" applyFill="1" applyBorder="1" applyAlignment="1">
      <alignment horizontal="center"/>
    </xf>
    <xf numFmtId="1" fontId="5" fillId="0" borderId="1" xfId="1" applyNumberFormat="1" applyFont="1" applyBorder="1" applyAlignment="1">
      <alignment horizontal="center"/>
    </xf>
    <xf numFmtId="0" fontId="23" fillId="2" borderId="6" xfId="0" applyFont="1" applyFill="1" applyBorder="1" applyAlignment="1">
      <alignment horizontal="left" vertical="center"/>
    </xf>
    <xf numFmtId="0" fontId="21" fillId="0" borderId="3" xfId="0" applyFont="1" applyBorder="1" applyAlignment="1">
      <alignment horizontal="left"/>
    </xf>
    <xf numFmtId="0" fontId="21" fillId="0" borderId="1" xfId="0" applyFont="1" applyBorder="1" applyAlignment="1">
      <alignment horizontal="center"/>
    </xf>
    <xf numFmtId="14" fontId="21" fillId="0" borderId="1" xfId="0" applyNumberFormat="1" applyFont="1" applyBorder="1" applyAlignment="1">
      <alignment horizontal="left"/>
    </xf>
    <xf numFmtId="1" fontId="5" fillId="3" borderId="1" xfId="1" applyNumberFormat="1" applyFont="1" applyFill="1" applyBorder="1" applyAlignment="1">
      <alignment horizontal="center"/>
    </xf>
    <xf numFmtId="14" fontId="24" fillId="3" borderId="1" xfId="1" applyNumberFormat="1" applyFont="1" applyFill="1" applyBorder="1" applyAlignment="1">
      <alignment horizontal="center"/>
    </xf>
    <xf numFmtId="0" fontId="21" fillId="3" borderId="3" xfId="0" applyFont="1" applyFill="1" applyBorder="1" applyAlignment="1">
      <alignment horizontal="left"/>
    </xf>
    <xf numFmtId="0" fontId="21" fillId="3" borderId="1" xfId="0" applyFont="1" applyFill="1" applyBorder="1" applyAlignment="1">
      <alignment horizontal="center"/>
    </xf>
    <xf numFmtId="14" fontId="24" fillId="0" borderId="1" xfId="1" applyNumberFormat="1" applyFont="1" applyBorder="1" applyAlignment="1">
      <alignment horizontal="center"/>
    </xf>
    <xf numFmtId="14" fontId="25" fillId="3" borderId="1" xfId="1" applyNumberFormat="1" applyFont="1" applyFill="1" applyBorder="1" applyAlignment="1">
      <alignment horizontal="center"/>
    </xf>
    <xf numFmtId="14" fontId="21" fillId="3" borderId="3" xfId="0" applyNumberFormat="1" applyFont="1" applyFill="1" applyBorder="1" applyAlignment="1">
      <alignment horizontal="left"/>
    </xf>
    <xf numFmtId="14" fontId="21" fillId="0" borderId="9" xfId="0" applyNumberFormat="1" applyFont="1" applyBorder="1" applyAlignment="1">
      <alignment horizontal="left"/>
    </xf>
    <xf numFmtId="14" fontId="21" fillId="5" borderId="1" xfId="0" applyNumberFormat="1" applyFont="1" applyFill="1" applyBorder="1" applyAlignment="1">
      <alignment horizontal="left"/>
    </xf>
    <xf numFmtId="14" fontId="25" fillId="6" borderId="1" xfId="0" applyNumberFormat="1" applyFont="1" applyFill="1" applyBorder="1" applyAlignment="1">
      <alignment horizontal="center" vertical="center"/>
    </xf>
    <xf numFmtId="14" fontId="21" fillId="3" borderId="1" xfId="0" applyNumberFormat="1" applyFont="1" applyFill="1" applyBorder="1" applyAlignment="1">
      <alignment horizontal="left"/>
    </xf>
    <xf numFmtId="0" fontId="21" fillId="0" borderId="1" xfId="0" applyFont="1" applyBorder="1" applyAlignment="1">
      <alignment horizontal="left"/>
    </xf>
    <xf numFmtId="0" fontId="21" fillId="3" borderId="1" xfId="0" applyFont="1" applyFill="1" applyBorder="1" applyAlignment="1">
      <alignment horizontal="left"/>
    </xf>
    <xf numFmtId="1" fontId="5" fillId="0" borderId="1" xfId="1" applyNumberFormat="1" applyFont="1" applyBorder="1" applyAlignment="1">
      <alignment horizontal="center" vertical="center"/>
    </xf>
    <xf numFmtId="165" fontId="21" fillId="0" borderId="1" xfId="0" applyNumberFormat="1" applyFont="1" applyBorder="1" applyAlignment="1">
      <alignment horizontal="center" vertical="center"/>
    </xf>
    <xf numFmtId="1" fontId="5" fillId="13" borderId="1" xfId="1" applyNumberFormat="1" applyFont="1" applyFill="1" applyBorder="1" applyAlignment="1">
      <alignment horizontal="center"/>
    </xf>
    <xf numFmtId="14" fontId="24" fillId="13" borderId="1" xfId="1" applyNumberFormat="1" applyFont="1" applyFill="1" applyBorder="1" applyAlignment="1">
      <alignment horizontal="center"/>
    </xf>
    <xf numFmtId="14" fontId="21" fillId="13" borderId="1" xfId="0" applyNumberFormat="1" applyFont="1" applyFill="1" applyBorder="1" applyAlignment="1">
      <alignment horizontal="left"/>
    </xf>
    <xf numFmtId="165" fontId="21" fillId="13" borderId="1" xfId="0" applyNumberFormat="1" applyFont="1" applyFill="1" applyBorder="1" applyAlignment="1">
      <alignment horizontal="center" vertical="center"/>
    </xf>
    <xf numFmtId="165" fontId="21" fillId="0" borderId="1" xfId="0" applyNumberFormat="1" applyFont="1" applyBorder="1" applyAlignment="1">
      <alignment horizontal="left" vertical="center"/>
    </xf>
    <xf numFmtId="0" fontId="21" fillId="5" borderId="1" xfId="0" applyFont="1" applyFill="1" applyBorder="1" applyAlignment="1">
      <alignment horizontal="left"/>
    </xf>
    <xf numFmtId="1" fontId="5" fillId="6" borderId="1" xfId="1" applyNumberFormat="1" applyFont="1" applyFill="1" applyBorder="1" applyAlignment="1">
      <alignment horizontal="center"/>
    </xf>
    <xf numFmtId="14" fontId="25" fillId="6" borderId="1" xfId="1" applyNumberFormat="1" applyFont="1" applyFill="1" applyBorder="1" applyAlignment="1">
      <alignment horizontal="center"/>
    </xf>
    <xf numFmtId="164" fontId="5" fillId="6" borderId="1" xfId="0" applyNumberFormat="1" applyFont="1" applyFill="1" applyBorder="1" applyAlignment="1">
      <alignment horizontal="center"/>
    </xf>
    <xf numFmtId="14" fontId="21" fillId="6" borderId="1" xfId="0" applyNumberFormat="1" applyFont="1" applyFill="1" applyBorder="1" applyAlignment="1">
      <alignment horizontal="left"/>
    </xf>
    <xf numFmtId="0" fontId="21" fillId="6" borderId="1" xfId="0" applyFont="1" applyFill="1" applyBorder="1" applyAlignment="1">
      <alignment horizontal="left"/>
    </xf>
    <xf numFmtId="0" fontId="21" fillId="6" borderId="1" xfId="0" applyFont="1" applyFill="1" applyBorder="1" applyAlignment="1">
      <alignment horizontal="center"/>
    </xf>
    <xf numFmtId="14" fontId="20" fillId="3" borderId="1" xfId="1" applyNumberFormat="1" applyFont="1" applyFill="1" applyBorder="1" applyAlignment="1">
      <alignment horizontal="center"/>
    </xf>
    <xf numFmtId="14" fontId="20" fillId="0" borderId="1" xfId="1" applyNumberFormat="1" applyFont="1" applyBorder="1" applyAlignment="1">
      <alignment horizontal="center"/>
    </xf>
    <xf numFmtId="1" fontId="5" fillId="4" borderId="1" xfId="1" applyNumberFormat="1" applyFont="1" applyFill="1" applyBorder="1" applyAlignment="1">
      <alignment horizontal="center"/>
    </xf>
    <xf numFmtId="14" fontId="20" fillId="4" borderId="1" xfId="1" applyNumberFormat="1" applyFont="1" applyFill="1" applyBorder="1" applyAlignment="1">
      <alignment horizontal="center"/>
    </xf>
    <xf numFmtId="164" fontId="5" fillId="4" borderId="1" xfId="0" applyNumberFormat="1" applyFont="1" applyFill="1" applyBorder="1" applyAlignment="1">
      <alignment horizontal="center"/>
    </xf>
    <xf numFmtId="0" fontId="21" fillId="4" borderId="1" xfId="0" applyFont="1" applyFill="1" applyBorder="1" applyAlignment="1">
      <alignment horizontal="left"/>
    </xf>
    <xf numFmtId="0" fontId="21" fillId="4" borderId="1" xfId="0" applyFont="1" applyFill="1" applyBorder="1" applyAlignment="1">
      <alignment horizontal="center"/>
    </xf>
    <xf numFmtId="14" fontId="21" fillId="4" borderId="1" xfId="0" applyNumberFormat="1" applyFont="1" applyFill="1" applyBorder="1" applyAlignment="1">
      <alignment horizontal="left"/>
    </xf>
    <xf numFmtId="14" fontId="25" fillId="4" borderId="1" xfId="1" applyNumberFormat="1" applyFont="1" applyFill="1" applyBorder="1" applyAlignment="1">
      <alignment horizontal="center"/>
    </xf>
    <xf numFmtId="14" fontId="24" fillId="5" borderId="1" xfId="1" applyNumberFormat="1" applyFont="1" applyFill="1" applyBorder="1" applyAlignment="1">
      <alignment horizontal="center"/>
    </xf>
    <xf numFmtId="14" fontId="24" fillId="4" borderId="1" xfId="1" applyNumberFormat="1" applyFont="1" applyFill="1" applyBorder="1" applyAlignment="1">
      <alignment horizontal="center"/>
    </xf>
    <xf numFmtId="0" fontId="21" fillId="5" borderId="1" xfId="0" applyFont="1" applyFill="1" applyBorder="1" applyAlignment="1">
      <alignment horizontal="left" vertical="center"/>
    </xf>
    <xf numFmtId="1" fontId="21" fillId="3" borderId="1" xfId="1" applyNumberFormat="1" applyFont="1" applyFill="1" applyBorder="1" applyAlignment="1">
      <alignment horizontal="center" vertical="center"/>
    </xf>
    <xf numFmtId="0" fontId="21" fillId="5" borderId="3" xfId="0" applyFont="1" applyFill="1" applyBorder="1" applyAlignment="1">
      <alignment horizontal="left" vertical="center"/>
    </xf>
    <xf numFmtId="0" fontId="21" fillId="0" borderId="3" xfId="0" applyFont="1" applyBorder="1" applyAlignment="1">
      <alignment horizontal="left" vertical="center"/>
    </xf>
    <xf numFmtId="0" fontId="21" fillId="6" borderId="3" xfId="0" applyFont="1" applyFill="1" applyBorder="1" applyAlignment="1">
      <alignment horizontal="left" vertical="center"/>
    </xf>
    <xf numFmtId="14" fontId="20" fillId="6" borderId="1" xfId="1" applyNumberFormat="1" applyFont="1" applyFill="1" applyBorder="1" applyAlignment="1">
      <alignment horizontal="center"/>
    </xf>
    <xf numFmtId="1" fontId="5" fillId="0" borderId="0" xfId="0" applyNumberFormat="1" applyFont="1" applyAlignment="1">
      <alignment horizontal="center"/>
    </xf>
    <xf numFmtId="0" fontId="24" fillId="0" borderId="0" xfId="0" applyFont="1" applyAlignment="1">
      <alignment horizontal="center"/>
    </xf>
    <xf numFmtId="0" fontId="21" fillId="0" borderId="8" xfId="0" applyFont="1" applyBorder="1" applyAlignment="1">
      <alignment horizontal="left" vertical="center"/>
    </xf>
    <xf numFmtId="0" fontId="22" fillId="5" borderId="1" xfId="0" applyFont="1" applyFill="1" applyBorder="1" applyAlignment="1">
      <alignment horizontal="left" vertical="center"/>
    </xf>
    <xf numFmtId="0" fontId="21" fillId="0" borderId="9" xfId="0" applyFont="1" applyBorder="1" applyAlignment="1">
      <alignment horizontal="left" vertical="center"/>
    </xf>
    <xf numFmtId="164" fontId="20" fillId="6" borderId="1" xfId="0" applyNumberFormat="1" applyFont="1" applyFill="1" applyBorder="1" applyAlignment="1">
      <alignment horizontal="left" vertical="center"/>
    </xf>
    <xf numFmtId="14" fontId="20" fillId="5" borderId="1" xfId="0" applyNumberFormat="1" applyFont="1" applyFill="1" applyBorder="1" applyAlignment="1">
      <alignment horizontal="left"/>
    </xf>
    <xf numFmtId="164" fontId="5" fillId="6" borderId="1" xfId="0" applyNumberFormat="1" applyFont="1" applyFill="1" applyBorder="1" applyAlignment="1">
      <alignment horizontal="left"/>
    </xf>
    <xf numFmtId="14" fontId="20" fillId="4" borderId="1" xfId="0" applyNumberFormat="1" applyFont="1" applyFill="1" applyBorder="1" applyAlignment="1">
      <alignment horizontal="left"/>
    </xf>
    <xf numFmtId="164" fontId="5" fillId="4" borderId="1" xfId="0" applyNumberFormat="1" applyFont="1" applyFill="1" applyBorder="1" applyAlignment="1">
      <alignment horizontal="left"/>
    </xf>
    <xf numFmtId="164" fontId="5" fillId="5" borderId="1" xfId="0" applyNumberFormat="1" applyFont="1" applyFill="1" applyBorder="1" applyAlignment="1">
      <alignment horizontal="left"/>
    </xf>
    <xf numFmtId="165" fontId="20" fillId="0" borderId="1" xfId="0" applyNumberFormat="1" applyFont="1" applyBorder="1" applyAlignment="1">
      <alignment horizontal="left" vertical="center"/>
    </xf>
    <xf numFmtId="1" fontId="5" fillId="5" borderId="1" xfId="1" applyNumberFormat="1" applyFont="1" applyFill="1" applyBorder="1" applyAlignment="1">
      <alignment horizontal="left"/>
    </xf>
    <xf numFmtId="0" fontId="21" fillId="13" borderId="1" xfId="0" applyFont="1" applyFill="1" applyBorder="1" applyAlignment="1">
      <alignment horizontal="left"/>
    </xf>
    <xf numFmtId="164" fontId="21" fillId="5" borderId="1" xfId="0" applyNumberFormat="1" applyFont="1" applyFill="1" applyBorder="1" applyAlignment="1">
      <alignment horizontal="left" vertical="center"/>
    </xf>
    <xf numFmtId="14" fontId="20" fillId="0" borderId="1" xfId="1" applyNumberFormat="1" applyFont="1" applyBorder="1" applyAlignment="1">
      <alignment horizontal="center" vertical="center"/>
    </xf>
    <xf numFmtId="164" fontId="5" fillId="5" borderId="1" xfId="0" applyNumberFormat="1" applyFont="1" applyFill="1" applyBorder="1" applyAlignment="1">
      <alignment horizontal="center" vertical="center"/>
    </xf>
    <xf numFmtId="14" fontId="21" fillId="0" borderId="1" xfId="0" applyNumberFormat="1" applyFont="1" applyBorder="1" applyAlignment="1">
      <alignment horizontal="left" vertical="center"/>
    </xf>
    <xf numFmtId="0" fontId="21" fillId="0" borderId="1" xfId="0" applyFont="1" applyBorder="1" applyAlignment="1">
      <alignment horizontal="left" vertical="center" wrapText="1"/>
    </xf>
    <xf numFmtId="0" fontId="21" fillId="0" borderId="1" xfId="0" applyFont="1" applyBorder="1" applyAlignment="1">
      <alignment horizontal="left" vertical="center"/>
    </xf>
    <xf numFmtId="0" fontId="5" fillId="0" borderId="0" xfId="0" applyFont="1" applyAlignment="1">
      <alignment vertical="center"/>
    </xf>
    <xf numFmtId="14" fontId="20" fillId="5" borderId="1" xfId="1" applyNumberFormat="1" applyFont="1" applyFill="1" applyBorder="1" applyAlignment="1">
      <alignment horizontal="center" vertical="center"/>
    </xf>
    <xf numFmtId="164" fontId="5" fillId="0" borderId="1" xfId="0" applyNumberFormat="1" applyFont="1" applyBorder="1" applyAlignment="1">
      <alignment horizontal="center" vertical="center"/>
    </xf>
    <xf numFmtId="1" fontId="5" fillId="5" borderId="1" xfId="1" applyNumberFormat="1" applyFont="1" applyFill="1" applyBorder="1" applyAlignment="1">
      <alignment horizontal="center" vertical="center"/>
    </xf>
    <xf numFmtId="14" fontId="24" fillId="0" borderId="1" xfId="1" applyNumberFormat="1" applyFont="1" applyBorder="1" applyAlignment="1">
      <alignment horizontal="center" vertical="center"/>
    </xf>
    <xf numFmtId="0" fontId="21" fillId="5" borderId="1" xfId="0" applyFont="1" applyFill="1" applyBorder="1" applyAlignment="1">
      <alignment horizontal="center" vertical="center"/>
    </xf>
    <xf numFmtId="1" fontId="21" fillId="5" borderId="1" xfId="1" applyNumberFormat="1" applyFont="1" applyFill="1" applyBorder="1" applyAlignment="1">
      <alignment horizontal="center" vertical="center"/>
    </xf>
    <xf numFmtId="0" fontId="5" fillId="5" borderId="0" xfId="0" applyFont="1" applyFill="1" applyAlignment="1">
      <alignment vertical="center"/>
    </xf>
    <xf numFmtId="14" fontId="24" fillId="5" borderId="1" xfId="1" applyNumberFormat="1" applyFont="1" applyFill="1" applyBorder="1" applyAlignment="1">
      <alignment horizontal="center" vertical="center"/>
    </xf>
    <xf numFmtId="14" fontId="21" fillId="5" borderId="1" xfId="0" applyNumberFormat="1" applyFont="1" applyFill="1" applyBorder="1" applyAlignment="1">
      <alignment horizontal="left" vertical="center"/>
    </xf>
    <xf numFmtId="165" fontId="21" fillId="13" borderId="1" xfId="0" applyNumberFormat="1" applyFont="1" applyFill="1" applyBorder="1" applyAlignment="1">
      <alignment horizontal="left" vertical="center"/>
    </xf>
    <xf numFmtId="0" fontId="21" fillId="3" borderId="1" xfId="0" applyFont="1" applyFill="1" applyBorder="1" applyAlignment="1">
      <alignment horizontal="left" vertical="center"/>
    </xf>
    <xf numFmtId="164" fontId="21" fillId="6" borderId="1" xfId="0" applyNumberFormat="1" applyFont="1" applyFill="1" applyBorder="1" applyAlignment="1">
      <alignment horizontal="left" vertical="center"/>
    </xf>
    <xf numFmtId="0" fontId="21" fillId="6" borderId="1" xfId="0" applyFont="1" applyFill="1" applyBorder="1" applyAlignment="1">
      <alignment horizontal="left" vertical="center"/>
    </xf>
    <xf numFmtId="0" fontId="21" fillId="2" borderId="1" xfId="0" applyFont="1" applyFill="1" applyBorder="1" applyAlignment="1">
      <alignment horizontal="left"/>
    </xf>
    <xf numFmtId="164" fontId="21" fillId="6" borderId="1" xfId="0" applyNumberFormat="1" applyFont="1" applyFill="1" applyBorder="1" applyAlignment="1">
      <alignment horizontal="left"/>
    </xf>
    <xf numFmtId="164" fontId="21" fillId="4" borderId="1" xfId="0" applyNumberFormat="1" applyFont="1" applyFill="1" applyBorder="1" applyAlignment="1">
      <alignment horizontal="left"/>
    </xf>
    <xf numFmtId="164" fontId="21" fillId="5" borderId="1" xfId="0" applyNumberFormat="1" applyFont="1" applyFill="1" applyBorder="1" applyAlignment="1">
      <alignment horizontal="left"/>
    </xf>
    <xf numFmtId="1" fontId="21" fillId="5" borderId="1" xfId="1" applyNumberFormat="1" applyFont="1" applyFill="1" applyBorder="1" applyAlignment="1">
      <alignment horizontal="left" vertical="center"/>
    </xf>
    <xf numFmtId="1" fontId="21" fillId="5" borderId="1" xfId="1" applyNumberFormat="1" applyFont="1" applyFill="1" applyBorder="1" applyAlignment="1">
      <alignment horizontal="left"/>
    </xf>
    <xf numFmtId="165" fontId="23" fillId="2" borderId="1" xfId="0" applyNumberFormat="1" applyFont="1" applyFill="1" applyBorder="1" applyAlignment="1">
      <alignment horizontal="left" vertical="center"/>
    </xf>
    <xf numFmtId="0" fontId="23" fillId="2" borderId="1" xfId="0" applyFont="1" applyFill="1" applyBorder="1" applyAlignment="1">
      <alignment horizontal="left"/>
    </xf>
    <xf numFmtId="0" fontId="21" fillId="7" borderId="1" xfId="0" applyFont="1" applyFill="1" applyBorder="1" applyAlignment="1">
      <alignment horizontal="left"/>
    </xf>
    <xf numFmtId="0" fontId="5" fillId="7" borderId="1" xfId="0" applyFont="1" applyFill="1" applyBorder="1"/>
    <xf numFmtId="0" fontId="13" fillId="14" borderId="5" xfId="0" applyFont="1" applyFill="1" applyBorder="1" applyAlignment="1">
      <alignment vertical="center"/>
    </xf>
    <xf numFmtId="0" fontId="13" fillId="14" borderId="5" xfId="0" applyFont="1" applyFill="1" applyBorder="1" applyAlignment="1">
      <alignment horizontal="center" vertical="center"/>
    </xf>
    <xf numFmtId="1" fontId="26" fillId="2" borderId="1" xfId="0" applyNumberFormat="1" applyFont="1" applyFill="1" applyBorder="1" applyAlignment="1">
      <alignment horizontal="center" vertical="center"/>
    </xf>
    <xf numFmtId="0" fontId="26" fillId="2" borderId="1" xfId="0" applyFont="1" applyFill="1" applyBorder="1" applyAlignment="1">
      <alignment horizontal="center" vertical="center"/>
    </xf>
    <xf numFmtId="164" fontId="26" fillId="2" borderId="1" xfId="0" applyNumberFormat="1" applyFont="1" applyFill="1" applyBorder="1" applyAlignment="1">
      <alignment horizontal="center" vertical="center"/>
    </xf>
    <xf numFmtId="0" fontId="26" fillId="2" borderId="1" xfId="0" applyFont="1" applyFill="1" applyBorder="1" applyAlignment="1">
      <alignment horizontal="center" vertical="center" wrapText="1"/>
    </xf>
    <xf numFmtId="1" fontId="26" fillId="0" borderId="1" xfId="0" applyNumberFormat="1" applyFont="1" applyBorder="1" applyAlignment="1">
      <alignment horizontal="center" vertical="center"/>
    </xf>
    <xf numFmtId="0" fontId="26" fillId="0" borderId="1" xfId="0" applyFont="1" applyBorder="1" applyAlignment="1">
      <alignment horizontal="center" vertical="center"/>
    </xf>
    <xf numFmtId="164" fontId="26" fillId="0" borderId="1" xfId="0" applyNumberFormat="1" applyFont="1" applyBorder="1" applyAlignment="1">
      <alignment horizontal="center" vertical="center"/>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1" fontId="3" fillId="5" borderId="1" xfId="0" applyNumberFormat="1" applyFont="1" applyFill="1" applyBorder="1" applyAlignment="1">
      <alignment horizontal="center" vertical="center"/>
    </xf>
    <xf numFmtId="14" fontId="27" fillId="5" borderId="1" xfId="0" applyNumberFormat="1" applyFont="1" applyFill="1" applyBorder="1" applyAlignment="1">
      <alignment horizontal="center" vertical="center"/>
    </xf>
    <xf numFmtId="164" fontId="28" fillId="5" borderId="1" xfId="0" applyNumberFormat="1" applyFont="1" applyFill="1" applyBorder="1" applyAlignment="1">
      <alignment horizontal="center" vertical="center"/>
    </xf>
    <xf numFmtId="0" fontId="28" fillId="5" borderId="1" xfId="0" applyFont="1" applyFill="1" applyBorder="1" applyAlignment="1">
      <alignment horizontal="center" vertical="center"/>
    </xf>
    <xf numFmtId="0" fontId="28" fillId="5" borderId="1" xfId="0" applyFont="1" applyFill="1" applyBorder="1" applyAlignment="1">
      <alignment horizontal="left" vertical="center"/>
    </xf>
    <xf numFmtId="0" fontId="29" fillId="5" borderId="1" xfId="0" applyFont="1" applyFill="1" applyBorder="1" applyAlignment="1">
      <alignment horizontal="center" vertical="center"/>
    </xf>
    <xf numFmtId="1" fontId="3" fillId="6" borderId="1" xfId="0" applyNumberFormat="1" applyFont="1" applyFill="1" applyBorder="1" applyAlignment="1">
      <alignment horizontal="center" vertical="center"/>
    </xf>
    <xf numFmtId="14" fontId="6" fillId="6" borderId="1" xfId="0" applyNumberFormat="1" applyFont="1" applyFill="1" applyBorder="1" applyAlignment="1">
      <alignment horizontal="center" vertical="center"/>
    </xf>
    <xf numFmtId="164" fontId="28" fillId="6" borderId="1" xfId="0" applyNumberFormat="1" applyFont="1" applyFill="1" applyBorder="1" applyAlignment="1">
      <alignment horizontal="center" vertical="center"/>
    </xf>
    <xf numFmtId="0" fontId="28" fillId="6" borderId="1" xfId="0" applyFont="1" applyFill="1" applyBorder="1" applyAlignment="1">
      <alignment horizontal="center" vertical="center"/>
    </xf>
    <xf numFmtId="0" fontId="28" fillId="6" borderId="1" xfId="0" applyFont="1" applyFill="1" applyBorder="1" applyAlignment="1">
      <alignment horizontal="left" vertical="center"/>
    </xf>
    <xf numFmtId="0" fontId="29" fillId="6" borderId="1" xfId="0" applyFont="1" applyFill="1" applyBorder="1" applyAlignment="1">
      <alignment horizontal="center" vertical="center"/>
    </xf>
    <xf numFmtId="1" fontId="3" fillId="0" borderId="1" xfId="0" applyNumberFormat="1" applyFont="1" applyBorder="1" applyAlignment="1">
      <alignment horizontal="center" vertical="center"/>
    </xf>
    <xf numFmtId="14" fontId="27" fillId="0" borderId="1" xfId="0" applyNumberFormat="1" applyFont="1" applyBorder="1" applyAlignment="1">
      <alignment horizontal="center" vertical="center"/>
    </xf>
    <xf numFmtId="164" fontId="28" fillId="0" borderId="1" xfId="0" applyNumberFormat="1" applyFont="1" applyBorder="1" applyAlignment="1">
      <alignment horizontal="center" vertical="center"/>
    </xf>
    <xf numFmtId="0" fontId="28" fillId="0" borderId="1" xfId="0" applyFont="1" applyBorder="1" applyAlignment="1">
      <alignment horizontal="center" vertical="center"/>
    </xf>
    <xf numFmtId="0" fontId="28" fillId="0" borderId="1" xfId="0" applyFont="1" applyBorder="1" applyAlignment="1">
      <alignment horizontal="left" vertical="center"/>
    </xf>
    <xf numFmtId="0" fontId="29" fillId="0" borderId="1" xfId="0" applyFont="1" applyBorder="1" applyAlignment="1">
      <alignment horizontal="center" vertical="center"/>
    </xf>
    <xf numFmtId="164" fontId="28" fillId="0" borderId="1" xfId="0" applyNumberFormat="1" applyFont="1" applyBorder="1" applyAlignment="1">
      <alignment horizontal="center"/>
    </xf>
    <xf numFmtId="0" fontId="28" fillId="0" borderId="3" xfId="0" applyFont="1" applyBorder="1" applyAlignment="1">
      <alignment horizontal="left" vertical="center"/>
    </xf>
    <xf numFmtId="14" fontId="28" fillId="5" borderId="3" xfId="0" applyNumberFormat="1" applyFont="1" applyFill="1" applyBorder="1" applyAlignment="1">
      <alignment horizontal="center" vertical="center"/>
    </xf>
    <xf numFmtId="0" fontId="28" fillId="0" borderId="2" xfId="0" applyFont="1" applyBorder="1" applyAlignment="1">
      <alignment horizontal="center" vertical="center"/>
    </xf>
    <xf numFmtId="1" fontId="3" fillId="3" borderId="1" xfId="0" applyNumberFormat="1" applyFont="1" applyFill="1" applyBorder="1" applyAlignment="1">
      <alignment horizontal="center" vertical="center"/>
    </xf>
    <xf numFmtId="14" fontId="27" fillId="3" borderId="1" xfId="0" applyNumberFormat="1" applyFont="1" applyFill="1" applyBorder="1" applyAlignment="1">
      <alignment horizontal="center" vertical="center"/>
    </xf>
    <xf numFmtId="164" fontId="28" fillId="3" borderId="1" xfId="0" applyNumberFormat="1" applyFont="1" applyFill="1" applyBorder="1" applyAlignment="1">
      <alignment horizontal="center" vertical="center"/>
    </xf>
    <xf numFmtId="0" fontId="28" fillId="3" borderId="2" xfId="0" applyFont="1" applyFill="1" applyBorder="1" applyAlignment="1">
      <alignment horizontal="center" vertical="center"/>
    </xf>
    <xf numFmtId="0" fontId="28" fillId="3" borderId="1" xfId="0" applyFont="1" applyFill="1" applyBorder="1" applyAlignment="1">
      <alignment horizontal="left" vertical="center"/>
    </xf>
    <xf numFmtId="0" fontId="28" fillId="3" borderId="3" xfId="0" applyFont="1" applyFill="1" applyBorder="1" applyAlignment="1">
      <alignment horizontal="left" vertical="center"/>
    </xf>
    <xf numFmtId="0" fontId="28" fillId="3" borderId="1" xfId="0" applyFont="1" applyFill="1" applyBorder="1" applyAlignment="1">
      <alignment horizontal="center" vertical="center"/>
    </xf>
    <xf numFmtId="0" fontId="29" fillId="3" borderId="1" xfId="0" applyFont="1" applyFill="1" applyBorder="1" applyAlignment="1">
      <alignment horizontal="center" vertical="center"/>
    </xf>
    <xf numFmtId="1" fontId="3" fillId="5" borderId="1" xfId="1" applyNumberFormat="1" applyFont="1" applyFill="1" applyBorder="1" applyAlignment="1">
      <alignment horizontal="center"/>
    </xf>
    <xf numFmtId="14" fontId="27" fillId="5" borderId="1" xfId="1" applyNumberFormat="1" applyFont="1" applyFill="1" applyBorder="1" applyAlignment="1">
      <alignment horizontal="center"/>
    </xf>
    <xf numFmtId="164" fontId="28" fillId="5" borderId="1" xfId="0" applyNumberFormat="1" applyFont="1" applyFill="1" applyBorder="1" applyAlignment="1">
      <alignment horizontal="center"/>
    </xf>
    <xf numFmtId="14" fontId="28" fillId="0" borderId="3" xfId="0" applyNumberFormat="1" applyFont="1" applyBorder="1" applyAlignment="1">
      <alignment horizontal="left"/>
    </xf>
    <xf numFmtId="0" fontId="28" fillId="5" borderId="3" xfId="0" applyFont="1" applyFill="1" applyBorder="1" applyAlignment="1">
      <alignment horizontal="left"/>
    </xf>
    <xf numFmtId="14" fontId="28" fillId="5" borderId="1" xfId="0" applyNumberFormat="1" applyFont="1" applyFill="1" applyBorder="1" applyAlignment="1">
      <alignment horizontal="center" vertical="center"/>
    </xf>
    <xf numFmtId="0" fontId="28" fillId="5" borderId="1" xfId="0" applyFont="1" applyFill="1" applyBorder="1" applyAlignment="1">
      <alignment horizontal="center"/>
    </xf>
    <xf numFmtId="0" fontId="3" fillId="5" borderId="0" xfId="0" applyFont="1" applyFill="1"/>
    <xf numFmtId="14" fontId="27" fillId="15" borderId="1" xfId="1" applyNumberFormat="1" applyFont="1" applyFill="1" applyBorder="1" applyAlignment="1">
      <alignment horizontal="center"/>
    </xf>
    <xf numFmtId="0" fontId="8" fillId="0" borderId="1" xfId="0" applyFont="1" applyBorder="1"/>
    <xf numFmtId="1" fontId="0" fillId="5" borderId="1" xfId="1" applyNumberFormat="1" applyFont="1" applyFill="1" applyBorder="1" applyAlignment="1">
      <alignment horizontal="center"/>
    </xf>
    <xf numFmtId="0" fontId="8" fillId="5" borderId="1" xfId="0" applyFont="1" applyFill="1" applyBorder="1"/>
    <xf numFmtId="0" fontId="0" fillId="5" borderId="0" xfId="0" applyFill="1"/>
    <xf numFmtId="1" fontId="0" fillId="0" borderId="1" xfId="1" applyNumberFormat="1" applyFont="1" applyBorder="1" applyAlignment="1">
      <alignment horizontal="center"/>
    </xf>
    <xf numFmtId="164" fontId="28" fillId="7" borderId="1" xfId="0" applyNumberFormat="1" applyFont="1" applyFill="1" applyBorder="1" applyAlignment="1">
      <alignment horizontal="center"/>
    </xf>
    <xf numFmtId="0" fontId="8" fillId="7" borderId="1" xfId="0" applyFont="1" applyFill="1" applyBorder="1"/>
    <xf numFmtId="14" fontId="28" fillId="7" borderId="3" xfId="0" applyNumberFormat="1" applyFont="1" applyFill="1" applyBorder="1" applyAlignment="1">
      <alignment horizontal="center" vertical="center"/>
    </xf>
    <xf numFmtId="0" fontId="28" fillId="7" borderId="1" xfId="0" applyFont="1" applyFill="1" applyBorder="1" applyAlignment="1">
      <alignment horizontal="center" vertical="center"/>
    </xf>
    <xf numFmtId="0" fontId="28" fillId="0" borderId="1" xfId="0" applyFont="1" applyBorder="1" applyAlignment="1">
      <alignment horizontal="center"/>
    </xf>
    <xf numFmtId="14" fontId="28" fillId="0" borderId="1" xfId="0" applyNumberFormat="1" applyFont="1" applyBorder="1" applyAlignment="1">
      <alignment horizontal="center" vertical="center"/>
    </xf>
    <xf numFmtId="164" fontId="28" fillId="0" borderId="2" xfId="0" applyNumberFormat="1" applyFont="1" applyBorder="1" applyAlignment="1">
      <alignment horizontal="center"/>
    </xf>
    <xf numFmtId="14" fontId="28" fillId="0" borderId="1" xfId="0" applyNumberFormat="1" applyFont="1" applyBorder="1" applyAlignment="1">
      <alignment horizontal="left"/>
    </xf>
    <xf numFmtId="0" fontId="28" fillId="0" borderId="3" xfId="0" applyFont="1" applyBorder="1" applyAlignment="1">
      <alignment horizontal="left"/>
    </xf>
    <xf numFmtId="1" fontId="0" fillId="3" borderId="1" xfId="1" applyNumberFormat="1" applyFont="1" applyFill="1" applyBorder="1" applyAlignment="1">
      <alignment horizontal="center"/>
    </xf>
    <xf numFmtId="14" fontId="2" fillId="3" borderId="1" xfId="1" applyNumberFormat="1" applyFont="1" applyFill="1" applyBorder="1" applyAlignment="1">
      <alignment horizontal="center"/>
    </xf>
    <xf numFmtId="164" fontId="28" fillId="3" borderId="1" xfId="0" applyNumberFormat="1" applyFont="1" applyFill="1" applyBorder="1" applyAlignment="1">
      <alignment horizontal="center"/>
    </xf>
    <xf numFmtId="0" fontId="28" fillId="3" borderId="2" xfId="0" applyFont="1" applyFill="1" applyBorder="1" applyAlignment="1">
      <alignment horizontal="center"/>
    </xf>
    <xf numFmtId="14" fontId="28" fillId="3" borderId="7" xfId="0" applyNumberFormat="1" applyFont="1" applyFill="1" applyBorder="1" applyAlignment="1">
      <alignment horizontal="left"/>
    </xf>
    <xf numFmtId="0" fontId="28" fillId="3" borderId="3" xfId="0" applyFont="1" applyFill="1" applyBorder="1" applyAlignment="1">
      <alignment horizontal="left"/>
    </xf>
    <xf numFmtId="14" fontId="28" fillId="3" borderId="1" xfId="0" applyNumberFormat="1" applyFont="1" applyFill="1" applyBorder="1" applyAlignment="1">
      <alignment horizontal="center" vertical="center"/>
    </xf>
    <xf numFmtId="0" fontId="28" fillId="3" borderId="1" xfId="0" applyFont="1" applyFill="1" applyBorder="1" applyAlignment="1">
      <alignment horizontal="center"/>
    </xf>
    <xf numFmtId="14" fontId="2" fillId="0" borderId="1" xfId="1" applyNumberFormat="1" applyFont="1" applyBorder="1" applyAlignment="1">
      <alignment horizontal="center"/>
    </xf>
    <xf numFmtId="14" fontId="28" fillId="0" borderId="3" xfId="0" applyNumberFormat="1" applyFont="1" applyBorder="1" applyAlignment="1">
      <alignment horizontal="center" vertical="center"/>
    </xf>
    <xf numFmtId="0" fontId="28" fillId="0" borderId="1" xfId="0" applyFont="1" applyBorder="1" applyAlignment="1">
      <alignment horizontal="left"/>
    </xf>
    <xf numFmtId="14" fontId="2" fillId="5" borderId="1" xfId="1" applyNumberFormat="1" applyFont="1" applyFill="1" applyBorder="1" applyAlignment="1">
      <alignment horizontal="center"/>
    </xf>
    <xf numFmtId="14" fontId="28" fillId="3" borderId="3" xfId="0" applyNumberFormat="1" applyFont="1" applyFill="1" applyBorder="1" applyAlignment="1">
      <alignment horizontal="left"/>
    </xf>
    <xf numFmtId="0" fontId="28" fillId="0" borderId="8" xfId="0" applyFont="1" applyBorder="1" applyAlignment="1">
      <alignment horizontal="left" vertical="center"/>
    </xf>
    <xf numFmtId="0" fontId="28" fillId="0" borderId="6" xfId="0" applyFont="1" applyBorder="1" applyAlignment="1">
      <alignment horizontal="left"/>
    </xf>
    <xf numFmtId="14" fontId="2" fillId="15" borderId="1" xfId="1" applyNumberFormat="1" applyFont="1" applyFill="1" applyBorder="1" applyAlignment="1">
      <alignment horizontal="center"/>
    </xf>
    <xf numFmtId="0" fontId="30" fillId="0" borderId="1" xfId="0" applyFont="1" applyBorder="1"/>
    <xf numFmtId="14" fontId="29" fillId="5" borderId="3" xfId="0" applyNumberFormat="1" applyFont="1" applyFill="1" applyBorder="1" applyAlignment="1">
      <alignment horizontal="center" vertical="center"/>
    </xf>
    <xf numFmtId="14" fontId="28" fillId="5" borderId="3" xfId="0" applyNumberFormat="1" applyFont="1" applyFill="1" applyBorder="1" applyAlignment="1">
      <alignment horizontal="left"/>
    </xf>
    <xf numFmtId="14" fontId="28" fillId="0" borderId="9" xfId="0" applyNumberFormat="1" applyFont="1" applyBorder="1" applyAlignment="1">
      <alignment horizontal="left"/>
    </xf>
    <xf numFmtId="0" fontId="28" fillId="0" borderId="9" xfId="0" applyFont="1" applyBorder="1" applyAlignment="1">
      <alignment horizontal="left"/>
    </xf>
    <xf numFmtId="14" fontId="27" fillId="6" borderId="1" xfId="0" applyNumberFormat="1" applyFont="1" applyFill="1" applyBorder="1" applyAlignment="1">
      <alignment horizontal="center" vertical="center"/>
    </xf>
    <xf numFmtId="164" fontId="28" fillId="6" borderId="1" xfId="0" applyNumberFormat="1" applyFont="1" applyFill="1" applyBorder="1" applyAlignment="1">
      <alignment horizontal="left" vertical="center"/>
    </xf>
    <xf numFmtId="164" fontId="29" fillId="6" borderId="1" xfId="0" applyNumberFormat="1" applyFont="1" applyFill="1" applyBorder="1" applyAlignment="1">
      <alignment horizontal="center" vertical="center"/>
    </xf>
    <xf numFmtId="14" fontId="28" fillId="3" borderId="1" xfId="0" applyNumberFormat="1" applyFont="1" applyFill="1" applyBorder="1" applyAlignment="1">
      <alignment horizontal="left"/>
    </xf>
    <xf numFmtId="14" fontId="29" fillId="0" borderId="1" xfId="0" applyNumberFormat="1" applyFont="1" applyBorder="1" applyAlignment="1">
      <alignment horizontal="center" vertical="center"/>
    </xf>
    <xf numFmtId="164" fontId="29" fillId="5" borderId="1" xfId="0" applyNumberFormat="1" applyFont="1" applyFill="1" applyBorder="1" applyAlignment="1">
      <alignment horizontal="center" vertical="center"/>
    </xf>
    <xf numFmtId="1" fontId="0" fillId="0" borderId="1" xfId="1" applyNumberFormat="1" applyFont="1" applyBorder="1" applyAlignment="1">
      <alignment horizontal="center" vertical="center"/>
    </xf>
    <xf numFmtId="0" fontId="28" fillId="3" borderId="1" xfId="0" applyFont="1" applyFill="1" applyBorder="1" applyAlignment="1">
      <alignment horizontal="left"/>
    </xf>
    <xf numFmtId="165" fontId="28" fillId="0" borderId="1" xfId="0" applyNumberFormat="1" applyFont="1" applyBorder="1" applyAlignment="1">
      <alignment horizontal="center" vertical="center"/>
    </xf>
    <xf numFmtId="165" fontId="29" fillId="0" borderId="1" xfId="0" applyNumberFormat="1" applyFont="1" applyBorder="1" applyAlignment="1">
      <alignment horizontal="center" vertical="center"/>
    </xf>
    <xf numFmtId="14" fontId="2" fillId="7" borderId="1" xfId="1" applyNumberFormat="1" applyFont="1" applyFill="1" applyBorder="1" applyAlignment="1">
      <alignment horizontal="center"/>
    </xf>
    <xf numFmtId="0" fontId="28" fillId="7" borderId="1" xfId="0" applyFont="1" applyFill="1" applyBorder="1" applyAlignment="1">
      <alignment horizontal="left"/>
    </xf>
    <xf numFmtId="14" fontId="28" fillId="7" borderId="1" xfId="0" applyNumberFormat="1" applyFont="1" applyFill="1" applyBorder="1" applyAlignment="1">
      <alignment horizontal="center" vertical="center"/>
    </xf>
    <xf numFmtId="165" fontId="28" fillId="7" borderId="1" xfId="0" applyNumberFormat="1" applyFont="1" applyFill="1" applyBorder="1" applyAlignment="1">
      <alignment horizontal="center" vertical="center"/>
    </xf>
    <xf numFmtId="0" fontId="3" fillId="0" borderId="0" xfId="0" applyFont="1" applyAlignment="1">
      <alignment horizontal="center" vertical="center"/>
    </xf>
    <xf numFmtId="14" fontId="28" fillId="5" borderId="1" xfId="0" applyNumberFormat="1" applyFont="1" applyFill="1" applyBorder="1" applyAlignment="1">
      <alignment horizontal="left"/>
    </xf>
    <xf numFmtId="0" fontId="28" fillId="5" borderId="1" xfId="0" applyFont="1" applyFill="1" applyBorder="1" applyAlignment="1">
      <alignment horizontal="left"/>
    </xf>
    <xf numFmtId="1" fontId="0" fillId="6" borderId="1" xfId="1" applyNumberFormat="1" applyFont="1" applyFill="1" applyBorder="1" applyAlignment="1">
      <alignment horizontal="center"/>
    </xf>
    <xf numFmtId="14" fontId="6" fillId="6" borderId="1" xfId="1" applyNumberFormat="1" applyFont="1" applyFill="1" applyBorder="1" applyAlignment="1">
      <alignment horizontal="center"/>
    </xf>
    <xf numFmtId="0" fontId="28" fillId="6" borderId="1" xfId="0" applyFont="1" applyFill="1" applyBorder="1" applyAlignment="1">
      <alignment horizontal="left"/>
    </xf>
    <xf numFmtId="14" fontId="28" fillId="6" borderId="1" xfId="0" applyNumberFormat="1" applyFont="1" applyFill="1" applyBorder="1" applyAlignment="1">
      <alignment horizontal="center" vertical="center"/>
    </xf>
    <xf numFmtId="0" fontId="28" fillId="6" borderId="1" xfId="0" applyFont="1" applyFill="1" applyBorder="1" applyAlignment="1">
      <alignment horizontal="center"/>
    </xf>
    <xf numFmtId="14" fontId="27" fillId="6" borderId="1" xfId="1" applyNumberFormat="1" applyFont="1" applyFill="1" applyBorder="1" applyAlignment="1">
      <alignment horizontal="center"/>
    </xf>
    <xf numFmtId="164" fontId="28" fillId="6" borderId="1" xfId="0" applyNumberFormat="1" applyFont="1" applyFill="1" applyBorder="1" applyAlignment="1">
      <alignment horizontal="center"/>
    </xf>
    <xf numFmtId="14" fontId="28" fillId="6" borderId="1" xfId="0" applyNumberFormat="1" applyFont="1" applyFill="1" applyBorder="1" applyAlignment="1">
      <alignment horizontal="left"/>
    </xf>
    <xf numFmtId="14" fontId="6" fillId="3" borderId="1" xfId="1" applyNumberFormat="1" applyFont="1" applyFill="1" applyBorder="1" applyAlignment="1">
      <alignment horizontal="center"/>
    </xf>
    <xf numFmtId="14" fontId="27" fillId="0" borderId="1" xfId="1" applyNumberFormat="1" applyFont="1" applyBorder="1" applyAlignment="1">
      <alignment horizontal="center"/>
    </xf>
    <xf numFmtId="0" fontId="29" fillId="8" borderId="1" xfId="0" applyFont="1" applyFill="1" applyBorder="1" applyAlignment="1">
      <alignment horizontal="center" vertical="center"/>
    </xf>
    <xf numFmtId="14" fontId="27" fillId="3" borderId="1" xfId="1" applyNumberFormat="1" applyFont="1" applyFill="1" applyBorder="1" applyAlignment="1">
      <alignment horizontal="center"/>
    </xf>
    <xf numFmtId="1" fontId="0" fillId="4" borderId="1" xfId="1" applyNumberFormat="1" applyFont="1" applyFill="1" applyBorder="1" applyAlignment="1">
      <alignment horizontal="center"/>
    </xf>
    <xf numFmtId="14" fontId="27" fillId="4" borderId="1" xfId="1" applyNumberFormat="1" applyFont="1" applyFill="1" applyBorder="1" applyAlignment="1">
      <alignment horizontal="center"/>
    </xf>
    <xf numFmtId="164" fontId="28" fillId="4" borderId="1" xfId="0" applyNumberFormat="1" applyFont="1" applyFill="1" applyBorder="1" applyAlignment="1">
      <alignment horizontal="center"/>
    </xf>
    <xf numFmtId="14" fontId="28" fillId="4" borderId="1" xfId="0" applyNumberFormat="1" applyFont="1" applyFill="1" applyBorder="1" applyAlignment="1">
      <alignment horizontal="left"/>
    </xf>
    <xf numFmtId="0" fontId="28" fillId="4" borderId="1" xfId="0" applyFont="1" applyFill="1" applyBorder="1" applyAlignment="1">
      <alignment horizontal="left"/>
    </xf>
    <xf numFmtId="14" fontId="28" fillId="4" borderId="1" xfId="0" applyNumberFormat="1" applyFont="1" applyFill="1" applyBorder="1" applyAlignment="1">
      <alignment horizontal="center" vertical="center"/>
    </xf>
    <xf numFmtId="0" fontId="28" fillId="4" borderId="1" xfId="0" applyFont="1" applyFill="1" applyBorder="1" applyAlignment="1">
      <alignment horizontal="center" vertical="center"/>
    </xf>
    <xf numFmtId="0" fontId="28" fillId="4" borderId="1" xfId="0" applyFont="1" applyFill="1" applyBorder="1" applyAlignment="1">
      <alignment horizontal="center"/>
    </xf>
    <xf numFmtId="0" fontId="29" fillId="4" borderId="1" xfId="0" applyFont="1" applyFill="1" applyBorder="1" applyAlignment="1">
      <alignment horizontal="center" vertical="center"/>
    </xf>
    <xf numFmtId="14" fontId="6" fillId="4" borderId="1" xfId="1" applyNumberFormat="1" applyFont="1" applyFill="1" applyBorder="1" applyAlignment="1">
      <alignment horizontal="center"/>
    </xf>
    <xf numFmtId="164" fontId="28" fillId="4" borderId="1" xfId="0" applyNumberFormat="1" applyFont="1" applyFill="1" applyBorder="1" applyAlignment="1">
      <alignment horizontal="left"/>
    </xf>
    <xf numFmtId="164" fontId="28" fillId="4" borderId="1" xfId="0" applyNumberFormat="1" applyFont="1" applyFill="1" applyBorder="1" applyAlignment="1">
      <alignment horizontal="center" vertical="center"/>
    </xf>
    <xf numFmtId="164" fontId="29" fillId="4" borderId="1" xfId="0" applyNumberFormat="1" applyFont="1" applyFill="1" applyBorder="1" applyAlignment="1">
      <alignment horizontal="center" vertical="center"/>
    </xf>
    <xf numFmtId="0" fontId="8" fillId="9" borderId="1" xfId="0" applyFont="1" applyFill="1" applyBorder="1"/>
    <xf numFmtId="0" fontId="28" fillId="9" borderId="1" xfId="0" applyFont="1" applyFill="1" applyBorder="1" applyAlignment="1">
      <alignment horizontal="center" vertical="center"/>
    </xf>
    <xf numFmtId="0" fontId="28" fillId="0" borderId="1" xfId="0" applyFont="1" applyBorder="1" applyAlignment="1">
      <alignment horizontal="left" vertical="center" wrapText="1"/>
    </xf>
    <xf numFmtId="14" fontId="28" fillId="9" borderId="1" xfId="0" applyNumberFormat="1" applyFont="1" applyFill="1" applyBorder="1" applyAlignment="1">
      <alignment horizontal="center" vertical="center"/>
    </xf>
    <xf numFmtId="14" fontId="27" fillId="7" borderId="1" xfId="1" applyNumberFormat="1" applyFont="1" applyFill="1" applyBorder="1" applyAlignment="1">
      <alignment horizontal="center"/>
    </xf>
    <xf numFmtId="14" fontId="28" fillId="7" borderId="1" xfId="0" applyNumberFormat="1" applyFont="1" applyFill="1" applyBorder="1" applyAlignment="1">
      <alignment horizontal="left"/>
    </xf>
    <xf numFmtId="14" fontId="27" fillId="8" borderId="1" xfId="1" applyNumberFormat="1" applyFont="1" applyFill="1" applyBorder="1" applyAlignment="1">
      <alignment horizontal="center"/>
    </xf>
    <xf numFmtId="1" fontId="3" fillId="4" borderId="1" xfId="1" applyNumberFormat="1" applyFont="1" applyFill="1" applyBorder="1" applyAlignment="1">
      <alignment horizontal="center"/>
    </xf>
    <xf numFmtId="1" fontId="3" fillId="3" borderId="1" xfId="1" applyNumberFormat="1" applyFont="1" applyFill="1" applyBorder="1" applyAlignment="1">
      <alignment horizontal="center" vertical="center"/>
    </xf>
    <xf numFmtId="1" fontId="3" fillId="0" borderId="1" xfId="1" applyNumberFormat="1" applyFont="1" applyBorder="1" applyAlignment="1">
      <alignment horizontal="center"/>
    </xf>
    <xf numFmtId="165" fontId="28" fillId="0" borderId="1" xfId="0" applyNumberFormat="1" applyFont="1" applyBorder="1" applyAlignment="1">
      <alignment horizontal="left" vertical="center"/>
    </xf>
    <xf numFmtId="0" fontId="28" fillId="5" borderId="3" xfId="0" applyFont="1" applyFill="1" applyBorder="1" applyAlignment="1">
      <alignment horizontal="left" vertical="center"/>
    </xf>
    <xf numFmtId="1" fontId="28" fillId="6" borderId="1" xfId="1" applyNumberFormat="1" applyFont="1" applyFill="1" applyBorder="1" applyAlignment="1">
      <alignment horizontal="center"/>
    </xf>
    <xf numFmtId="1" fontId="28" fillId="6" borderId="1" xfId="1" applyNumberFormat="1" applyFont="1" applyFill="1" applyBorder="1" applyAlignment="1">
      <alignment horizontal="left"/>
    </xf>
    <xf numFmtId="1" fontId="28" fillId="6" borderId="1" xfId="1" applyNumberFormat="1" applyFont="1" applyFill="1" applyBorder="1" applyAlignment="1">
      <alignment horizontal="center" vertical="center"/>
    </xf>
    <xf numFmtId="1" fontId="29" fillId="6" borderId="1" xfId="1" applyNumberFormat="1" applyFont="1" applyFill="1" applyBorder="1" applyAlignment="1">
      <alignment horizontal="center" vertical="center"/>
    </xf>
    <xf numFmtId="1" fontId="28" fillId="0" borderId="1" xfId="1" applyNumberFormat="1" applyFont="1" applyBorder="1" applyAlignment="1">
      <alignment horizontal="left"/>
    </xf>
    <xf numFmtId="1" fontId="29" fillId="0" borderId="1" xfId="1" applyNumberFormat="1" applyFont="1" applyBorder="1" applyAlignment="1">
      <alignment horizontal="left"/>
    </xf>
    <xf numFmtId="1" fontId="28" fillId="0" borderId="1" xfId="1" applyNumberFormat="1" applyFont="1" applyBorder="1" applyAlignment="1">
      <alignment horizontal="center" vertical="center"/>
    </xf>
    <xf numFmtId="1" fontId="28" fillId="0" borderId="1" xfId="1" applyNumberFormat="1" applyFont="1" applyBorder="1" applyAlignment="1">
      <alignment horizontal="center"/>
    </xf>
    <xf numFmtId="1" fontId="29" fillId="0" borderId="1" xfId="1" applyNumberFormat="1" applyFont="1" applyBorder="1" applyAlignment="1">
      <alignment horizontal="center" vertical="center"/>
    </xf>
    <xf numFmtId="14" fontId="28" fillId="3" borderId="3" xfId="0" applyNumberFormat="1" applyFont="1" applyFill="1" applyBorder="1" applyAlignment="1">
      <alignment horizontal="center" vertical="center"/>
    </xf>
    <xf numFmtId="0" fontId="1" fillId="0" borderId="0" xfId="0" applyFont="1" applyAlignment="1">
      <alignment horizontal="left" vertical="center" indent="2"/>
    </xf>
    <xf numFmtId="0" fontId="3" fillId="8" borderId="0" xfId="0" applyFont="1" applyFill="1"/>
    <xf numFmtId="0" fontId="0" fillId="8" borderId="0" xfId="0" applyFill="1"/>
    <xf numFmtId="0" fontId="2" fillId="0" borderId="0" xfId="0" applyFont="1" applyAlignment="1">
      <alignment vertical="center"/>
    </xf>
    <xf numFmtId="1" fontId="0" fillId="0" borderId="0" xfId="0" applyNumberFormat="1" applyAlignment="1">
      <alignment horizontal="center"/>
    </xf>
    <xf numFmtId="0" fontId="2" fillId="0" borderId="0" xfId="0" applyFont="1" applyAlignment="1">
      <alignment horizontal="center"/>
    </xf>
    <xf numFmtId="166" fontId="0" fillId="0" borderId="0" xfId="0" applyNumberFormat="1"/>
    <xf numFmtId="9" fontId="0" fillId="0" borderId="0" xfId="2" applyFont="1"/>
    <xf numFmtId="0" fontId="0" fillId="0" borderId="22" xfId="0" applyBorder="1" applyAlignment="1">
      <alignment horizontal="left" vertical="center" wrapText="1"/>
    </xf>
    <xf numFmtId="0" fontId="13" fillId="0" borderId="5" xfId="0" applyFont="1" applyBorder="1" applyAlignment="1">
      <alignment vertical="center"/>
    </xf>
    <xf numFmtId="0" fontId="0" fillId="9" borderId="5" xfId="0" applyFill="1" applyBorder="1" applyAlignment="1">
      <alignment vertical="center"/>
    </xf>
    <xf numFmtId="0" fontId="21" fillId="7" borderId="3" xfId="0" applyFont="1" applyFill="1" applyBorder="1" applyAlignment="1">
      <alignment horizontal="left" vertical="center"/>
    </xf>
    <xf numFmtId="0" fontId="5" fillId="2" borderId="1" xfId="0" applyFont="1" applyFill="1" applyBorder="1" applyAlignment="1">
      <alignment vertical="center"/>
    </xf>
    <xf numFmtId="0" fontId="21" fillId="3" borderId="1" xfId="0" applyFont="1" applyFill="1" applyBorder="1" applyAlignment="1">
      <alignment horizontal="center" vertical="center"/>
    </xf>
    <xf numFmtId="0" fontId="21" fillId="6" borderId="1" xfId="0" applyFont="1" applyFill="1" applyBorder="1" applyAlignment="1">
      <alignment horizontal="center" vertical="center"/>
    </xf>
    <xf numFmtId="164" fontId="5" fillId="6"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164" fontId="5" fillId="4" borderId="1" xfId="0" applyNumberFormat="1" applyFont="1" applyFill="1" applyBorder="1" applyAlignment="1">
      <alignment horizontal="center" vertical="center"/>
    </xf>
    <xf numFmtId="0" fontId="21" fillId="7" borderId="3" xfId="0" applyFont="1" applyFill="1" applyBorder="1" applyAlignment="1">
      <alignment horizontal="center" vertical="center"/>
    </xf>
    <xf numFmtId="14" fontId="21" fillId="5" borderId="1" xfId="0" applyNumberFormat="1" applyFont="1" applyFill="1" applyBorder="1" applyAlignment="1">
      <alignment horizontal="center" vertical="center"/>
    </xf>
    <xf numFmtId="14" fontId="23"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4" fontId="21" fillId="0" borderId="1" xfId="0" applyNumberFormat="1" applyFont="1" applyBorder="1" applyAlignment="1">
      <alignment horizontal="center" vertical="center"/>
    </xf>
    <xf numFmtId="14" fontId="21" fillId="3" borderId="1" xfId="0" applyNumberFormat="1" applyFont="1" applyFill="1" applyBorder="1" applyAlignment="1">
      <alignment horizontal="center" vertical="center"/>
    </xf>
    <xf numFmtId="14" fontId="21" fillId="13" borderId="1" xfId="0" applyNumberFormat="1" applyFont="1" applyFill="1" applyBorder="1" applyAlignment="1">
      <alignment horizontal="center" vertical="center"/>
    </xf>
    <xf numFmtId="14" fontId="21" fillId="6" borderId="1" xfId="0" applyNumberFormat="1" applyFont="1" applyFill="1" applyBorder="1" applyAlignment="1">
      <alignment horizontal="center" vertical="center"/>
    </xf>
    <xf numFmtId="14" fontId="21" fillId="4" borderId="1" xfId="0" applyNumberFormat="1" applyFont="1" applyFill="1" applyBorder="1" applyAlignment="1">
      <alignment horizontal="center" vertical="center"/>
    </xf>
    <xf numFmtId="0" fontId="21" fillId="0" borderId="0" xfId="0" applyFont="1" applyAlignment="1">
      <alignment horizontal="center" vertical="center"/>
    </xf>
    <xf numFmtId="0" fontId="5" fillId="0" borderId="0" xfId="0" applyFont="1" applyAlignment="1">
      <alignment horizontal="center" vertical="center"/>
    </xf>
    <xf numFmtId="0" fontId="23" fillId="2" borderId="3" xfId="0" applyFont="1" applyFill="1" applyBorder="1" applyAlignment="1">
      <alignment horizontal="left" vertical="center"/>
    </xf>
    <xf numFmtId="14" fontId="21" fillId="5" borderId="3" xfId="0" applyNumberFormat="1" applyFont="1" applyFill="1" applyBorder="1" applyAlignment="1">
      <alignment horizontal="center" vertical="center"/>
    </xf>
    <xf numFmtId="14" fontId="21" fillId="0" borderId="3" xfId="0" applyNumberFormat="1" applyFont="1" applyBorder="1" applyAlignment="1">
      <alignment horizontal="center" vertical="center"/>
    </xf>
    <xf numFmtId="14" fontId="20" fillId="5" borderId="3" xfId="0" applyNumberFormat="1" applyFont="1" applyFill="1" applyBorder="1" applyAlignment="1">
      <alignment horizontal="center" vertical="center"/>
    </xf>
    <xf numFmtId="0" fontId="5" fillId="0" borderId="1" xfId="0" applyFont="1" applyBorder="1" applyAlignment="1">
      <alignment vertical="center"/>
    </xf>
    <xf numFmtId="14" fontId="20" fillId="5" borderId="3" xfId="0" applyNumberFormat="1" applyFont="1" applyFill="1" applyBorder="1" applyAlignment="1">
      <alignment horizontal="left" vertical="center"/>
    </xf>
    <xf numFmtId="14" fontId="21" fillId="0" borderId="9" xfId="0" applyNumberFormat="1" applyFont="1" applyBorder="1" applyAlignment="1">
      <alignment horizontal="left" vertical="center"/>
    </xf>
    <xf numFmtId="14" fontId="21" fillId="3" borderId="3" xfId="0" applyNumberFormat="1" applyFont="1" applyFill="1" applyBorder="1" applyAlignment="1">
      <alignment horizontal="left" vertical="center"/>
    </xf>
    <xf numFmtId="0" fontId="21" fillId="3" borderId="3" xfId="0" applyFont="1" applyFill="1" applyBorder="1" applyAlignment="1">
      <alignment horizontal="left" vertical="center"/>
    </xf>
    <xf numFmtId="14" fontId="21" fillId="0" borderId="3" xfId="0" applyNumberFormat="1" applyFont="1" applyBorder="1" applyAlignment="1">
      <alignment horizontal="left" vertical="center"/>
    </xf>
    <xf numFmtId="0" fontId="24" fillId="0" borderId="1" xfId="0" applyFont="1" applyBorder="1" applyAlignment="1">
      <alignment vertical="center"/>
    </xf>
    <xf numFmtId="14" fontId="21" fillId="3" borderId="1" xfId="0" applyNumberFormat="1" applyFont="1" applyFill="1" applyBorder="1" applyAlignment="1">
      <alignment horizontal="left" vertical="center"/>
    </xf>
    <xf numFmtId="14" fontId="21" fillId="5" borderId="8" xfId="0" applyNumberFormat="1" applyFont="1" applyFill="1" applyBorder="1" applyAlignment="1">
      <alignment horizontal="left" vertical="center"/>
    </xf>
    <xf numFmtId="14" fontId="21" fillId="3" borderId="7" xfId="0" applyNumberFormat="1" applyFont="1" applyFill="1" applyBorder="1" applyAlignment="1">
      <alignment horizontal="left" vertical="center"/>
    </xf>
    <xf numFmtId="165" fontId="20" fillId="0" borderId="1" xfId="0" applyNumberFormat="1" applyFont="1" applyBorder="1" applyAlignment="1">
      <alignment horizontal="center" vertical="center"/>
    </xf>
    <xf numFmtId="0" fontId="5" fillId="5" borderId="1" xfId="0" applyFont="1" applyFill="1" applyBorder="1" applyAlignment="1">
      <alignment vertical="center"/>
    </xf>
    <xf numFmtId="0" fontId="20" fillId="6" borderId="1" xfId="0" applyFont="1" applyFill="1" applyBorder="1" applyAlignment="1">
      <alignment horizontal="left"/>
    </xf>
    <xf numFmtId="1" fontId="5" fillId="6" borderId="1" xfId="1" applyNumberFormat="1" applyFont="1" applyFill="1" applyBorder="1" applyAlignment="1">
      <alignment horizontal="center" vertical="center"/>
    </xf>
    <xf numFmtId="14" fontId="20" fillId="6" borderId="1" xfId="1" applyNumberFormat="1" applyFont="1" applyFill="1" applyBorder="1" applyAlignment="1">
      <alignment horizontal="center" vertical="center"/>
    </xf>
    <xf numFmtId="14" fontId="21" fillId="6" borderId="1" xfId="0" applyNumberFormat="1" applyFont="1" applyFill="1" applyBorder="1" applyAlignment="1">
      <alignment horizontal="left" vertical="center"/>
    </xf>
    <xf numFmtId="0" fontId="20" fillId="6" borderId="1" xfId="0" applyFont="1" applyFill="1" applyBorder="1" applyAlignment="1">
      <alignment horizontal="left" vertical="center"/>
    </xf>
    <xf numFmtId="164" fontId="21" fillId="5" borderId="1" xfId="0" applyNumberFormat="1" applyFont="1" applyFill="1" applyBorder="1" applyAlignment="1">
      <alignment horizontal="center" vertical="center"/>
    </xf>
    <xf numFmtId="164" fontId="21" fillId="2" borderId="1" xfId="0" applyNumberFormat="1" applyFont="1" applyFill="1" applyBorder="1" applyAlignment="1">
      <alignment horizontal="center" vertical="center"/>
    </xf>
    <xf numFmtId="164" fontId="5" fillId="0" borderId="2" xfId="0" applyNumberFormat="1" applyFont="1" applyBorder="1" applyAlignment="1">
      <alignment horizontal="center" vertical="center"/>
    </xf>
    <xf numFmtId="164" fontId="5" fillId="3" borderId="1"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3" borderId="1" xfId="0" applyFont="1" applyFill="1" applyBorder="1" applyAlignment="1">
      <alignment horizontal="center" vertical="center"/>
    </xf>
    <xf numFmtId="164" fontId="5" fillId="13" borderId="1" xfId="0" applyNumberFormat="1" applyFont="1" applyFill="1" applyBorder="1" applyAlignment="1">
      <alignment horizontal="center" vertical="center"/>
    </xf>
    <xf numFmtId="164" fontId="21" fillId="4" borderId="1" xfId="0" applyNumberFormat="1" applyFont="1" applyFill="1" applyBorder="1" applyAlignment="1">
      <alignment horizontal="center" vertical="center"/>
    </xf>
    <xf numFmtId="164" fontId="21" fillId="0" borderId="1" xfId="0" applyNumberFormat="1" applyFont="1" applyBorder="1" applyAlignment="1">
      <alignment horizontal="center" vertical="center"/>
    </xf>
    <xf numFmtId="0" fontId="5" fillId="5" borderId="1" xfId="0" applyFont="1" applyFill="1" applyBorder="1" applyAlignment="1">
      <alignment horizontal="center" vertical="center"/>
    </xf>
    <xf numFmtId="166" fontId="5" fillId="0" borderId="0" xfId="0" applyNumberFormat="1" applyFont="1" applyAlignment="1">
      <alignment vertical="center"/>
    </xf>
    <xf numFmtId="9" fontId="5" fillId="0" borderId="0" xfId="2" applyFont="1" applyAlignment="1">
      <alignment vertical="center"/>
    </xf>
    <xf numFmtId="164" fontId="21" fillId="7" borderId="1" xfId="0" applyNumberFormat="1" applyFont="1" applyFill="1" applyBorder="1" applyAlignment="1">
      <alignment horizontal="center" vertical="center"/>
    </xf>
    <xf numFmtId="1" fontId="16" fillId="2" borderId="1" xfId="0" applyNumberFormat="1"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21" fillId="2" borderId="1" xfId="0" applyFont="1" applyFill="1" applyBorder="1" applyAlignment="1">
      <alignment horizontal="center" vertical="center"/>
    </xf>
    <xf numFmtId="164" fontId="21" fillId="6" borderId="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20" fillId="8" borderId="1" xfId="0" applyFont="1" applyFill="1" applyBorder="1" applyAlignment="1">
      <alignment horizontal="center" vertical="center"/>
    </xf>
    <xf numFmtId="0" fontId="8" fillId="0" borderId="0" xfId="0" applyFont="1"/>
    <xf numFmtId="0" fontId="20" fillId="4" borderId="1" xfId="0" applyFont="1" applyFill="1" applyBorder="1" applyAlignment="1">
      <alignment horizontal="left"/>
    </xf>
    <xf numFmtId="0" fontId="5" fillId="7" borderId="1" xfId="0" applyFont="1" applyFill="1" applyBorder="1" applyAlignment="1">
      <alignment vertical="center"/>
    </xf>
    <xf numFmtId="164" fontId="16" fillId="2" borderId="1" xfId="0" applyNumberFormat="1" applyFont="1" applyFill="1" applyBorder="1" applyAlignment="1">
      <alignment horizontal="center" vertical="center" wrapText="1"/>
    </xf>
    <xf numFmtId="0" fontId="0" fillId="9" borderId="5" xfId="0" applyFill="1" applyBorder="1" applyAlignment="1">
      <alignment vertical="center" wrapText="1"/>
    </xf>
    <xf numFmtId="0" fontId="0" fillId="0" borderId="4" xfId="0" applyBorder="1" applyAlignment="1">
      <alignment horizontal="center" vertical="center" wrapText="1"/>
    </xf>
    <xf numFmtId="0" fontId="0" fillId="0" borderId="10" xfId="0" applyBorder="1" applyAlignment="1">
      <alignment horizontal="center" vertical="center" wrapText="1"/>
    </xf>
    <xf numFmtId="0" fontId="5" fillId="0" borderId="5" xfId="0" applyFont="1" applyBorder="1" applyAlignment="1">
      <alignment horizontal="left" vertical="center" wrapText="1"/>
    </xf>
    <xf numFmtId="0" fontId="0" fillId="0" borderId="4"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center" vertical="center"/>
    </xf>
    <xf numFmtId="0" fontId="0" fillId="0" borderId="10" xfId="0" applyBorder="1" applyAlignment="1">
      <alignment horizontal="center" vertical="center"/>
    </xf>
    <xf numFmtId="1" fontId="0" fillId="0" borderId="4" xfId="0" applyNumberFormat="1" applyBorder="1" applyAlignment="1">
      <alignment horizontal="center" vertical="center" wrapText="1"/>
    </xf>
    <xf numFmtId="1" fontId="0" fillId="0" borderId="10" xfId="0" applyNumberFormat="1" applyBorder="1" applyAlignment="1">
      <alignment horizontal="center" vertical="center" wrapText="1"/>
    </xf>
    <xf numFmtId="0" fontId="0" fillId="0" borderId="5" xfId="0" applyBorder="1" applyAlignment="1">
      <alignment horizontal="center" vertical="center" wrapText="1"/>
    </xf>
    <xf numFmtId="0" fontId="3" fillId="12" borderId="4" xfId="0" applyFont="1" applyFill="1" applyBorder="1" applyAlignment="1">
      <alignment horizontal="left" vertical="center" wrapText="1"/>
    </xf>
    <xf numFmtId="0" fontId="3" fillId="12" borderId="10" xfId="0" applyFont="1" applyFill="1" applyBorder="1" applyAlignment="1">
      <alignment horizontal="left" vertical="center" wrapText="1"/>
    </xf>
    <xf numFmtId="0" fontId="0" fillId="12" borderId="5" xfId="0" applyFill="1" applyBorder="1" applyAlignment="1">
      <alignment horizontal="center" vertical="center"/>
    </xf>
    <xf numFmtId="0" fontId="0" fillId="0" borderId="11" xfId="0" applyBorder="1" applyAlignment="1">
      <alignment horizontal="center" vertical="center" wrapText="1"/>
    </xf>
    <xf numFmtId="0" fontId="0" fillId="0" borderId="5" xfId="0" applyBorder="1" applyAlignment="1">
      <alignment horizontal="left" vertical="center" wrapText="1"/>
    </xf>
    <xf numFmtId="0" fontId="5" fillId="0" borderId="16" xfId="0" applyFont="1" applyBorder="1" applyAlignment="1">
      <alignment horizontal="left" vertical="center" wrapText="1"/>
    </xf>
    <xf numFmtId="0" fontId="0" fillId="12" borderId="4" xfId="0" applyFill="1" applyBorder="1" applyAlignment="1">
      <alignment horizontal="left" vertical="center" wrapText="1"/>
    </xf>
    <xf numFmtId="0" fontId="0" fillId="12" borderId="10" xfId="0" applyFill="1" applyBorder="1" applyAlignment="1">
      <alignment horizontal="left" vertical="center" wrapText="1"/>
    </xf>
    <xf numFmtId="0" fontId="0" fillId="12" borderId="11" xfId="0" applyFill="1" applyBorder="1" applyAlignment="1">
      <alignment horizontal="left" vertical="center" wrapText="1"/>
    </xf>
    <xf numFmtId="0" fontId="0" fillId="12" borderId="4" xfId="0" applyFill="1" applyBorder="1" applyAlignment="1">
      <alignment horizontal="center" vertical="center"/>
    </xf>
    <xf numFmtId="0" fontId="0" fillId="12" borderId="10" xfId="0" applyFill="1" applyBorder="1" applyAlignment="1">
      <alignment horizontal="center" vertical="center"/>
    </xf>
    <xf numFmtId="0" fontId="0" fillId="12" borderId="11" xfId="0" applyFill="1" applyBorder="1" applyAlignment="1">
      <alignment horizontal="center" vertical="center"/>
    </xf>
    <xf numFmtId="0" fontId="0" fillId="0" borderId="11" xfId="0" applyBorder="1" applyAlignment="1">
      <alignment horizontal="center" vertical="center"/>
    </xf>
    <xf numFmtId="0" fontId="5" fillId="0" borderId="18" xfId="0" applyFont="1" applyBorder="1" applyAlignment="1">
      <alignment horizontal="left" vertical="center" wrapText="1"/>
    </xf>
    <xf numFmtId="0" fontId="0" fillId="0" borderId="17" xfId="0" applyBorder="1" applyAlignment="1">
      <alignment horizontal="left" vertical="center" wrapText="1"/>
    </xf>
    <xf numFmtId="0" fontId="5" fillId="0" borderId="4"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0" fillId="0" borderId="11" xfId="0" applyBorder="1" applyAlignment="1">
      <alignment horizontal="left" vertical="center" wrapText="1"/>
    </xf>
    <xf numFmtId="1" fontId="0" fillId="0" borderId="5" xfId="0" applyNumberFormat="1" applyBorder="1" applyAlignment="1">
      <alignment horizontal="center" vertical="center"/>
    </xf>
    <xf numFmtId="0" fontId="0" fillId="0" borderId="5" xfId="0" applyBorder="1" applyAlignment="1">
      <alignment horizontal="center" vertical="center"/>
    </xf>
    <xf numFmtId="0" fontId="5" fillId="0" borderId="4"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1" fontId="0" fillId="12" borderId="4" xfId="0" applyNumberFormat="1" applyFill="1" applyBorder="1" applyAlignment="1">
      <alignment horizontal="center" vertical="center" wrapText="1"/>
    </xf>
    <xf numFmtId="1" fontId="0" fillId="12" borderId="10" xfId="0" applyNumberFormat="1" applyFill="1" applyBorder="1" applyAlignment="1">
      <alignment horizontal="center" vertical="center" wrapText="1"/>
    </xf>
    <xf numFmtId="1" fontId="0" fillId="12" borderId="11" xfId="0" applyNumberFormat="1" applyFill="1" applyBorder="1" applyAlignment="1">
      <alignment horizontal="center" vertical="center" wrapText="1"/>
    </xf>
    <xf numFmtId="0" fontId="0" fillId="12" borderId="10" xfId="0" applyFill="1" applyBorder="1" applyAlignment="1">
      <alignment horizontal="center" vertical="center" wrapText="1"/>
    </xf>
    <xf numFmtId="1" fontId="3" fillId="0" borderId="4" xfId="0" applyNumberFormat="1" applyFont="1" applyBorder="1" applyAlignment="1">
      <alignment horizontal="center" vertical="center"/>
    </xf>
    <xf numFmtId="1" fontId="3" fillId="0" borderId="10" xfId="0" applyNumberFormat="1" applyFont="1" applyBorder="1" applyAlignment="1">
      <alignment horizontal="center" vertical="center"/>
    </xf>
    <xf numFmtId="1" fontId="0" fillId="0" borderId="11" xfId="0" applyNumberFormat="1" applyBorder="1" applyAlignment="1">
      <alignment horizontal="center" vertical="center" wrapText="1"/>
    </xf>
    <xf numFmtId="0" fontId="0" fillId="9" borderId="4" xfId="0" applyFill="1" applyBorder="1" applyAlignment="1">
      <alignment horizontal="center" vertical="center"/>
    </xf>
    <xf numFmtId="0" fontId="0" fillId="9" borderId="10" xfId="0" applyFill="1" applyBorder="1" applyAlignment="1">
      <alignment horizontal="center" vertical="center"/>
    </xf>
    <xf numFmtId="0" fontId="0" fillId="9" borderId="11" xfId="0" applyFill="1" applyBorder="1" applyAlignment="1">
      <alignment horizontal="center" vertical="center"/>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0" fontId="0" fillId="9" borderId="5" xfId="0" applyFill="1" applyBorder="1" applyAlignment="1">
      <alignment horizontal="center" vertical="center"/>
    </xf>
    <xf numFmtId="20" fontId="23" fillId="2" borderId="2" xfId="0" applyNumberFormat="1" applyFont="1" applyFill="1" applyBorder="1" applyAlignment="1">
      <alignment horizontal="center" vertical="center"/>
    </xf>
    <xf numFmtId="20" fontId="23" fillId="2" borderId="3" xfId="0" applyNumberFormat="1" applyFont="1" applyFill="1" applyBorder="1" applyAlignment="1">
      <alignment horizontal="center" vertical="center"/>
    </xf>
    <xf numFmtId="0" fontId="10" fillId="2" borderId="0" xfId="0" applyFont="1" applyFill="1" applyAlignment="1">
      <alignment horizontal="center" vertical="center" textRotation="90"/>
    </xf>
    <xf numFmtId="0" fontId="13" fillId="0" borderId="12" xfId="0" applyFont="1" applyBorder="1" applyAlignment="1">
      <alignment vertical="top"/>
    </xf>
    <xf numFmtId="0" fontId="13" fillId="0" borderId="13" xfId="0" applyFont="1" applyBorder="1" applyAlignment="1">
      <alignment vertical="top"/>
    </xf>
    <xf numFmtId="0" fontId="13" fillId="0" borderId="15" xfId="0" applyFont="1" applyBorder="1" applyAlignment="1">
      <alignment vertical="top"/>
    </xf>
    <xf numFmtId="14" fontId="20" fillId="0" borderId="1" xfId="1" applyNumberFormat="1" applyFont="1" applyFill="1" applyBorder="1" applyAlignment="1">
      <alignment horizontal="center"/>
    </xf>
    <xf numFmtId="164" fontId="5" fillId="0" borderId="1" xfId="0" applyNumberFormat="1" applyFont="1" applyFill="1" applyBorder="1" applyAlignment="1">
      <alignment horizontal="center" vertical="center"/>
    </xf>
    <xf numFmtId="0" fontId="5" fillId="0" borderId="1" xfId="0" applyFont="1" applyFill="1" applyBorder="1" applyAlignment="1">
      <alignment vertical="center"/>
    </xf>
    <xf numFmtId="14" fontId="21" fillId="0" borderId="1" xfId="0" applyNumberFormat="1" applyFont="1" applyFill="1" applyBorder="1" applyAlignment="1">
      <alignment horizontal="center" vertical="center"/>
    </xf>
    <xf numFmtId="0" fontId="21" fillId="0" borderId="1" xfId="0" applyFont="1" applyFill="1" applyBorder="1" applyAlignment="1">
      <alignment horizontal="left"/>
    </xf>
    <xf numFmtId="165" fontId="21" fillId="0" borderId="1" xfId="0" applyNumberFormat="1" applyFont="1" applyFill="1" applyBorder="1" applyAlignment="1">
      <alignment horizontal="center" vertical="center"/>
    </xf>
    <xf numFmtId="0" fontId="21" fillId="0" borderId="1" xfId="0" applyFont="1" applyFill="1" applyBorder="1" applyAlignment="1">
      <alignment horizontal="center" vertical="center"/>
    </xf>
    <xf numFmtId="0" fontId="21" fillId="9" borderId="1" xfId="0" applyFont="1" applyFill="1" applyBorder="1" applyAlignment="1">
      <alignment horizontal="center" vertical="center"/>
    </xf>
  </cellXfs>
  <cellStyles count="3">
    <cellStyle name="Normal" xfId="0" builtinId="0"/>
    <cellStyle name="Normal 2" xfId="1" xr:uid="{BC485022-3EBB-41AC-B6D6-8A2CC123EEFB}"/>
    <cellStyle name="Porcentaje" xfId="2" builtinId="5"/>
  </cellStyles>
  <dxfs count="148">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ont>
        <color rgb="FF9C0006"/>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C00000"/>
      </font>
      <fill>
        <patternFill>
          <bgColor theme="5" tint="0.79998168889431442"/>
        </patternFill>
      </fill>
    </dxf>
    <dxf>
      <font>
        <color theme="7" tint="-0.24994659260841701"/>
      </font>
      <fill>
        <patternFill>
          <bgColor theme="7" tint="0.59996337778862885"/>
        </patternFill>
      </fill>
    </dxf>
    <dxf>
      <font>
        <color theme="9" tint="-0.499984740745262"/>
      </font>
      <fill>
        <patternFill>
          <bgColor theme="9" tint="0.59996337778862885"/>
        </patternFill>
      </fill>
    </dxf>
    <dxf>
      <font>
        <color rgb="FFC00000"/>
      </font>
      <fill>
        <patternFill>
          <bgColor theme="0"/>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
      <fill>
        <patternFill>
          <bgColor rgb="FFB8DE6F"/>
        </patternFill>
      </fill>
    </dxf>
    <dxf>
      <fill>
        <patternFill>
          <bgColor rgb="FFF33030"/>
        </patternFill>
      </fill>
    </dxf>
    <dxf>
      <fill>
        <patternFill>
          <bgColor rgb="FFF39232"/>
        </patternFill>
      </fill>
    </dxf>
    <dxf>
      <fill>
        <patternFill>
          <bgColor rgb="FFF1E188"/>
        </patternFill>
      </fill>
    </dxf>
    <dxf>
      <fill>
        <patternFill>
          <bgColor rgb="FF3EC5C5"/>
        </patternFill>
      </fill>
    </dxf>
  </dxfs>
  <tableStyles count="0" defaultTableStyle="TableStyleMedium2" defaultPivotStyle="PivotStyleLight16"/>
  <colors>
    <mruColors>
      <color rgb="FFD9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7</xdr:col>
      <xdr:colOff>714375</xdr:colOff>
      <xdr:row>2</xdr:row>
      <xdr:rowOff>219075</xdr:rowOff>
    </xdr:to>
    <xdr:pic>
      <xdr:nvPicPr>
        <xdr:cNvPr id="2" name="Imagen 1">
          <a:extLst>
            <a:ext uri="{FF2B5EF4-FFF2-40B4-BE49-F238E27FC236}">
              <a16:creationId xmlns:a16="http://schemas.microsoft.com/office/drawing/2014/main" id="{1E7D7FF0-0954-4CEF-B78C-4529DB2E7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90500"/>
          <a:ext cx="7572375"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M Fabregas" id="{21F71AB5-5AD3-4607-8B58-C155DB4DE643}" userId="S::jm.fabregas@ogilvy.com::322be2ca-c568-49af-9b5a-442c20d8fed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8EFA8-4972-4F97-8BDA-999A3572FB05}" name="Tabla1" displayName="Tabla1" ref="B2:B4" totalsRowShown="0">
  <autoFilter ref="B2:B4" xr:uid="{5228EFA8-4972-4F97-8BDA-999A3572FB05}"/>
  <tableColumns count="1">
    <tableColumn id="1" xr3:uid="{55BD3942-938A-4D68-ADA4-81B6A7261287}" name="ES PROFESSOR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652949-5CEC-4441-81C2-8FCF1E744752}" name="Tabla2" displayName="Tabla2" ref="E2:E37" totalsRowShown="0">
  <autoFilter ref="E2:E37" xr:uid="{AB652949-5CEC-4441-81C2-8FCF1E744752}"/>
  <tableColumns count="1">
    <tableColumn id="1" xr3:uid="{2143F78F-13FC-4E02-A5A8-9DD00B30CAB4}" name="ASSIGNATURAS"/>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9" dT="2021-04-15T10:25:38.03" personId="{21F71AB5-5AD3-4607-8B58-C155DB4DE643}" id="{A8104E6C-AF5D-4666-98E0-FF93B5ACF595}">
    <text>Desdoblament classe: sessions dobles</text>
  </threadedComment>
  <threadedComment ref="K69" dT="2021-04-15T10:25:46.54" personId="{21F71AB5-5AD3-4607-8B58-C155DB4DE643}" id="{067FA73B-124A-44E1-B4ED-D8686BAF915C}">
    <text>Desdoblament classe: sessions dobles</text>
  </threadedComment>
  <threadedComment ref="L69" dT="2021-04-15T10:25:54.47" personId="{21F71AB5-5AD3-4607-8B58-C155DB4DE643}" id="{E4975CDB-7683-4784-86C8-C5C67D0ED185}">
    <text>Desdoblament classe: sessions dobles</text>
  </threadedComment>
  <threadedComment ref="K79" dT="2021-04-15T10:25:15.20" personId="{21F71AB5-5AD3-4607-8B58-C155DB4DE643}" id="{C0C1289D-0B91-4743-8AF2-93500227F23F}">
    <text>Desdoblament classe: sessions dobles</text>
  </threadedComment>
  <threadedComment ref="L79" dT="2021-04-15T10:25:23.18" personId="{21F71AB5-5AD3-4607-8B58-C155DB4DE643}" id="{82431E3D-FE79-47BF-9208-AD53E263E4FD}">
    <text>Desdoblament classe: sessions dobles</text>
  </threadedComment>
</ThreadedComments>
</file>

<file path=xl/threadedComments/threadedComment2.xml><?xml version="1.0" encoding="utf-8"?>
<ThreadedComments xmlns="http://schemas.microsoft.com/office/spreadsheetml/2018/threadedcomments" xmlns:x="http://schemas.openxmlformats.org/spreadsheetml/2006/main">
  <threadedComment ref="G41" dT="2024-06-03T15:11:45.32" personId="{21F71AB5-5AD3-4607-8B58-C155DB4DE643}" id="{66181BD1-0A50-4F6E-9C94-E43514357E84}">
    <text>Desdoblament classe: sessió doble (JMF+AGP)</text>
  </threadedComment>
  <threadedComment ref="G70" dT="2024-06-03T15:12:00.55" personId="{21F71AB5-5AD3-4607-8B58-C155DB4DE643}" id="{6CF3B835-BFCB-4BA1-A52B-5263CA77945F}">
    <text>Desdoblament classe: sessió doble (JMF+AGP)</text>
  </threadedComment>
  <threadedComment ref="G91" dT="2024-06-03T15:12:21.20" personId="{21F71AB5-5AD3-4607-8B58-C155DB4DE643}" id="{CCCD3F61-96D4-4D06-B3B9-ABE33DE9895A}">
    <text>Desdoblament classe: sessió doble (JMF+AGP)</text>
  </threadedComment>
  <threadedComment ref="G118" dT="2024-06-03T15:12:39.91" personId="{21F71AB5-5AD3-4607-8B58-C155DB4DE643}" id="{57484C68-8A23-48B7-8FF6-2D92A67FEDD1}">
    <text>Desdoblament classe: sessió doble (JMF+AGP)</text>
  </threadedComment>
  <threadedComment ref="G119" dT="2024-06-03T15:13:26.28" personId="{21F71AB5-5AD3-4607-8B58-C155DB4DE643}" id="{3E88C31D-0B5A-41FF-AAB5-EB69C8BE2A21}">
    <text>Desdoblament classe: sessió doble (JMF+AGP)</text>
  </threadedComment>
  <threadedComment ref="G140" dT="2024-06-03T15:13:38.17" personId="{21F71AB5-5AD3-4607-8B58-C155DB4DE643}" id="{AD761CCB-8FF3-4722-A9D3-28FEA161877C}">
    <text>Desdoblament classe: sessió doble (JMF+AGP)</text>
  </threadedComment>
  <threadedComment ref="G161" dT="2024-06-03T15:13:55.78" personId="{21F71AB5-5AD3-4607-8B58-C155DB4DE643}" id="{7B1525B2-C8F3-4785-90A8-85E32991CF00}">
    <text>Desdoblament classe: sessió doble (JMF+AGP)</text>
  </threadedComment>
  <threadedComment ref="G195" dT="2024-06-03T15:14:25.16" personId="{21F71AB5-5AD3-4607-8B58-C155DB4DE643}" id="{037D3493-8744-4C52-A2C6-7390BFA3C069}">
    <text>Desdoblament classe: sessió doble (JMF+AGP)</text>
  </threadedComment>
  <threadedComment ref="G196" dT="2024-06-03T15:14:41.38" personId="{21F71AB5-5AD3-4607-8B58-C155DB4DE643}" id="{4CBCD226-DDDD-4C12-87C9-FC561D2AFBA1}">
    <text>Desdoblament classe: sessió doble (JMF+AGP)</text>
  </threadedComment>
  <threadedComment ref="G217" dT="2024-06-03T15:14:52.75" personId="{21F71AB5-5AD3-4607-8B58-C155DB4DE643}" id="{0F84B11B-0006-42F5-B2E2-5072B3EA8ED3}">
    <text>Desdoblament classe: sessió doble (JMF+AGP)</text>
  </threadedComment>
  <threadedComment ref="G238" dT="2024-06-03T15:15:04.64" personId="{21F71AB5-5AD3-4607-8B58-C155DB4DE643}" id="{F8B17817-F278-423E-B638-D64C1BCDC12F}">
    <text>Desdoblament classe: sessió doble (JMF+AGP)</text>
  </threadedComment>
  <threadedComment ref="G259" dT="2024-06-03T15:15:16.37" personId="{21F71AB5-5AD3-4607-8B58-C155DB4DE643}" id="{1D90D515-799A-4119-A405-4DEEAA01447A}">
    <text>Desdoblament classe: sessió doble (JMF+AGP)</text>
  </threadedComment>
  <threadedComment ref="G273" dT="2024-06-03T15:15:27.03" personId="{21F71AB5-5AD3-4607-8B58-C155DB4DE643}" id="{D3AC1F32-CD29-445A-BF65-72C22CD934C1}">
    <text>Desdoblament classe: sessió doble (JMF+AGP)</text>
  </threadedComment>
</ThreadedComments>
</file>

<file path=xl/threadedComments/threadedComment3.xml><?xml version="1.0" encoding="utf-8"?>
<ThreadedComments xmlns="http://schemas.microsoft.com/office/spreadsheetml/2018/threadedcomments" xmlns:x="http://schemas.openxmlformats.org/spreadsheetml/2006/main">
  <threadedComment ref="J63" dT="2021-04-15T10:25:38.03" personId="{21F71AB5-5AD3-4607-8B58-C155DB4DE643}" id="{167D9DE4-C004-4DF6-9D01-E0E52EBF4EAB}">
    <text>Desdoblament classe: sessions dobles</text>
  </threadedComment>
  <threadedComment ref="K63" dT="2021-04-15T10:25:46.54" personId="{21F71AB5-5AD3-4607-8B58-C155DB4DE643}" id="{C943C498-ED95-4E8D-9080-5D207EAEC42E}">
    <text>Desdoblament classe: sessions dobles</text>
  </threadedComment>
  <threadedComment ref="L63" dT="2021-04-15T10:25:54.47" personId="{21F71AB5-5AD3-4607-8B58-C155DB4DE643}" id="{508BF339-CFB3-4EE6-84AB-D63F8B731E3E}">
    <text>Desdoblament classe: sessions dobles</text>
  </threadedComment>
  <threadedComment ref="K73" dT="2021-04-15T10:25:15.20" personId="{21F71AB5-5AD3-4607-8B58-C155DB4DE643}" id="{B836EAFB-C795-43A8-BC3B-C9D91CBDA059}">
    <text>Desdoblament classe: sessions dobles</text>
  </threadedComment>
</ThreadedComments>
</file>

<file path=xl/threadedComments/threadedComment4.xml><?xml version="1.0" encoding="utf-8"?>
<ThreadedComments xmlns="http://schemas.microsoft.com/office/spreadsheetml/2018/threadedcomments" xmlns:x="http://schemas.openxmlformats.org/spreadsheetml/2006/main">
  <threadedComment ref="G38" dT="2024-06-03T15:11:45.32" personId="{21F71AB5-5AD3-4607-8B58-C155DB4DE643}" id="{B577027F-4288-4B80-901A-2761B16CA0C4}">
    <text>Desdoblament classe: sessió doble (JMF+AGP)</text>
  </threadedComment>
  <threadedComment ref="G66" dT="2024-06-03T15:12:00.55" personId="{21F71AB5-5AD3-4607-8B58-C155DB4DE643}" id="{396A12BE-F6A6-4836-B7CD-0F33B6D51839}">
    <text>Desdoblament classe: sessió doble (JMF+AGP)</text>
  </threadedComment>
  <threadedComment ref="G87" dT="2024-06-03T15:12:21.20" personId="{21F71AB5-5AD3-4607-8B58-C155DB4DE643}" id="{556D08D6-3F77-4C90-B080-38A201F4C419}">
    <text>Desdoblament classe: sessió doble (JMF+AGP)</text>
  </threadedComment>
  <threadedComment ref="G107" dT="2024-06-03T15:12:39.91" personId="{21F71AB5-5AD3-4607-8B58-C155DB4DE643}" id="{7AD5B806-D36D-467A-8207-9DEA1C5C5F2A}">
    <text>Desdoblament classe: sessió doble (JMF+AGP)</text>
  </threadedComment>
  <threadedComment ref="G108" dT="2024-06-03T15:13:26.28" personId="{21F71AB5-5AD3-4607-8B58-C155DB4DE643}" id="{904EC496-9142-416C-88B2-9693E218B3C2}">
    <text>Desdoblament classe: sessió doble (JMF+AGP)</text>
  </threadedComment>
  <threadedComment ref="G129" dT="2024-06-03T15:13:38.17" personId="{21F71AB5-5AD3-4607-8B58-C155DB4DE643}" id="{236C0203-542D-4E18-AF69-1ADD58887F93}">
    <text>Desdoblament classe: sessió doble (JMF+AGP)</text>
  </threadedComment>
  <threadedComment ref="G157" dT="2024-06-03T15:13:55.78" personId="{21F71AB5-5AD3-4607-8B58-C155DB4DE643}" id="{BE2D055D-4527-4A42-B75A-D1B8022B284C}">
    <text>Desdoblament classe: sessió doble (JMF+AGP)</text>
  </threadedComment>
  <threadedComment ref="G185" dT="2024-06-03T15:14:52.75" personId="{21F71AB5-5AD3-4607-8B58-C155DB4DE643}" id="{FCACAD04-CB1F-4E10-8DA5-30D50DF97FA8}">
    <text>Desdoblament classe: sessió doble (JMF+AGP)</text>
  </threadedComment>
  <threadedComment ref="G210" dT="2024-06-03T15:14:41.38" personId="{21F71AB5-5AD3-4607-8B58-C155DB4DE643}" id="{8B67011B-21FD-4E5C-80E4-23E551D2F049}">
    <text>Desdoblament classe: sessió doble (JMF+AGP)</text>
  </threadedComment>
  <threadedComment ref="G213" dT="2024-06-03T15:14:41.38" personId="{21F71AB5-5AD3-4607-8B58-C155DB4DE643}" id="{EFFFCD41-442F-42D6-A07E-C1EEC1DADC6A}">
    <text>Desdoblament classe: sessió doble (JMF+AGP)</text>
  </threadedComment>
  <threadedComment ref="G219" dT="2024-06-03T15:15:04.64" personId="{21F71AB5-5AD3-4607-8B58-C155DB4DE643}" id="{633F9449-5D16-4537-A8AF-50E8C1CC559B}">
    <text>Desdoblament classe: sessió doble (JMF+AGP)</text>
  </threadedComment>
  <threadedComment ref="G255" dT="2024-06-03T15:15:16.37" personId="{21F71AB5-5AD3-4607-8B58-C155DB4DE643}" id="{3B9D419A-36A3-4912-81A1-2E4DDD96482E}">
    <text>Desdoblament classe: sessió doble (JMF+AGP)</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9805-2529-42B3-BAE5-D2C18C29B406}">
  <dimension ref="A1:M86"/>
  <sheetViews>
    <sheetView zoomScale="80" zoomScaleNormal="80" workbookViewId="0">
      <selection activeCell="E3" sqref="E3:E9"/>
    </sheetView>
  </sheetViews>
  <sheetFormatPr baseColWidth="10" defaultColWidth="11.453125" defaultRowHeight="14.5" x14ac:dyDescent="0.35"/>
  <cols>
    <col min="1" max="1" width="15.7265625" style="38" customWidth="1"/>
    <col min="2" max="2" width="15.7265625" style="38" hidden="1" customWidth="1"/>
    <col min="3" max="3" width="20" style="30" customWidth="1"/>
    <col min="4" max="4" width="11.453125" style="27"/>
    <col min="5" max="5" width="9.26953125" style="42" customWidth="1"/>
    <col min="6" max="6" width="14.7265625" style="25" hidden="1" customWidth="1"/>
    <col min="7" max="7" width="103.26953125" style="25" bestFit="1" customWidth="1"/>
    <col min="8" max="8" width="23.7265625" style="27" customWidth="1"/>
    <col min="9" max="9" width="22.81640625" style="27" customWidth="1"/>
    <col min="10" max="12" width="10.54296875" style="27" customWidth="1"/>
    <col min="13" max="13" width="22.7265625" style="24" customWidth="1"/>
    <col min="14" max="16384" width="11.453125" style="25"/>
  </cols>
  <sheetData>
    <row r="1" spans="1:13" s="19" customFormat="1" ht="24.75" customHeight="1" x14ac:dyDescent="0.35">
      <c r="A1" s="16" t="s">
        <v>0</v>
      </c>
      <c r="B1" s="16" t="s">
        <v>1</v>
      </c>
      <c r="C1" s="16" t="s">
        <v>2</v>
      </c>
      <c r="D1" s="16"/>
      <c r="E1" s="17" t="s">
        <v>3</v>
      </c>
      <c r="F1" s="16" t="s">
        <v>4</v>
      </c>
      <c r="G1" s="16" t="s">
        <v>5</v>
      </c>
      <c r="H1" s="16" t="s">
        <v>6</v>
      </c>
      <c r="I1" s="16" t="s">
        <v>7</v>
      </c>
      <c r="J1" s="16" t="s">
        <v>8</v>
      </c>
      <c r="K1" s="16" t="s">
        <v>8</v>
      </c>
      <c r="L1" s="16" t="s">
        <v>8</v>
      </c>
      <c r="M1" s="18" t="s">
        <v>9</v>
      </c>
    </row>
    <row r="2" spans="1:13" s="23" customFormat="1" ht="137.15" hidden="1" customHeight="1" x14ac:dyDescent="0.35">
      <c r="A2" s="20" t="s">
        <v>10</v>
      </c>
      <c r="B2" s="20"/>
      <c r="C2" s="20" t="s">
        <v>11</v>
      </c>
      <c r="D2" s="21" t="s">
        <v>12</v>
      </c>
      <c r="E2" s="22" t="s">
        <v>13</v>
      </c>
      <c r="F2" s="21" t="s">
        <v>14</v>
      </c>
      <c r="G2" s="21" t="s">
        <v>15</v>
      </c>
      <c r="H2" s="21"/>
      <c r="I2" s="21"/>
      <c r="J2" s="21" t="s">
        <v>16</v>
      </c>
      <c r="K2" s="21" t="s">
        <v>17</v>
      </c>
      <c r="L2" s="21" t="s">
        <v>18</v>
      </c>
      <c r="M2" s="21" t="s">
        <v>19</v>
      </c>
    </row>
    <row r="3" spans="1:13" ht="24" customHeight="1" x14ac:dyDescent="0.35">
      <c r="A3" s="424" t="s">
        <v>20</v>
      </c>
      <c r="B3" s="423" t="s">
        <v>21</v>
      </c>
      <c r="C3" s="424" t="s">
        <v>22</v>
      </c>
      <c r="D3" s="426">
        <f>SUM(J3:L9)</f>
        <v>21</v>
      </c>
      <c r="E3" s="428">
        <v>4</v>
      </c>
      <c r="F3" s="430" t="s">
        <v>23</v>
      </c>
      <c r="G3" s="28" t="s">
        <v>24</v>
      </c>
      <c r="H3" s="26" t="s">
        <v>25</v>
      </c>
      <c r="I3" s="26" t="s">
        <v>26</v>
      </c>
      <c r="J3" s="27">
        <v>3</v>
      </c>
      <c r="M3" s="422" t="s">
        <v>27</v>
      </c>
    </row>
    <row r="4" spans="1:13" ht="24" customHeight="1" x14ac:dyDescent="0.35">
      <c r="A4" s="425"/>
      <c r="B4" s="423"/>
      <c r="C4" s="425"/>
      <c r="D4" s="427"/>
      <c r="E4" s="429"/>
      <c r="F4" s="430"/>
      <c r="G4" s="28" t="s">
        <v>28</v>
      </c>
      <c r="H4" s="27" t="s">
        <v>29</v>
      </c>
      <c r="J4" s="27">
        <v>3</v>
      </c>
      <c r="M4" s="422"/>
    </row>
    <row r="5" spans="1:13" ht="24" customHeight="1" x14ac:dyDescent="0.35">
      <c r="A5" s="425"/>
      <c r="B5" s="423"/>
      <c r="C5" s="425"/>
      <c r="D5" s="427"/>
      <c r="E5" s="429"/>
      <c r="F5" s="430"/>
      <c r="G5" s="25" t="s">
        <v>30</v>
      </c>
      <c r="H5" s="26" t="s">
        <v>26</v>
      </c>
      <c r="I5" s="26" t="s">
        <v>25</v>
      </c>
      <c r="J5" s="27">
        <v>3</v>
      </c>
      <c r="M5" s="422"/>
    </row>
    <row r="6" spans="1:13" ht="24" customHeight="1" x14ac:dyDescent="0.35">
      <c r="A6" s="425"/>
      <c r="B6" s="423"/>
      <c r="C6" s="425"/>
      <c r="D6" s="427"/>
      <c r="E6" s="429"/>
      <c r="F6" s="430"/>
      <c r="G6" s="25" t="s">
        <v>31</v>
      </c>
      <c r="H6" s="27" t="s">
        <v>25</v>
      </c>
      <c r="I6" s="26" t="s">
        <v>26</v>
      </c>
      <c r="J6" s="27">
        <v>3</v>
      </c>
      <c r="M6" s="422"/>
    </row>
    <row r="7" spans="1:13" ht="24" customHeight="1" x14ac:dyDescent="0.35">
      <c r="A7" s="425"/>
      <c r="B7" s="423"/>
      <c r="C7" s="425"/>
      <c r="D7" s="427"/>
      <c r="E7" s="429"/>
      <c r="F7" s="430"/>
      <c r="G7" s="28" t="s">
        <v>32</v>
      </c>
      <c r="H7" s="27" t="s">
        <v>25</v>
      </c>
      <c r="I7" s="26" t="s">
        <v>26</v>
      </c>
      <c r="J7" s="27">
        <v>3</v>
      </c>
      <c r="M7" s="422"/>
    </row>
    <row r="8" spans="1:13" ht="24.75" customHeight="1" x14ac:dyDescent="0.35">
      <c r="A8" s="425"/>
      <c r="B8" s="423"/>
      <c r="C8" s="425"/>
      <c r="D8" s="427"/>
      <c r="E8" s="429"/>
      <c r="F8" s="430"/>
      <c r="G8" s="25" t="s">
        <v>33</v>
      </c>
      <c r="H8" s="27" t="s">
        <v>34</v>
      </c>
      <c r="J8" s="27">
        <v>3</v>
      </c>
      <c r="M8" s="422"/>
    </row>
    <row r="9" spans="1:13" ht="24.75" customHeight="1" x14ac:dyDescent="0.35">
      <c r="A9" s="425"/>
      <c r="B9" s="423"/>
      <c r="C9" s="425"/>
      <c r="D9" s="427"/>
      <c r="E9" s="429"/>
      <c r="F9" s="430"/>
      <c r="G9" s="25" t="s">
        <v>35</v>
      </c>
      <c r="H9" s="27" t="s">
        <v>34</v>
      </c>
      <c r="J9" s="27">
        <v>3</v>
      </c>
      <c r="M9" s="422"/>
    </row>
    <row r="10" spans="1:13" ht="24" customHeight="1" x14ac:dyDescent="0.35">
      <c r="A10" s="425"/>
      <c r="B10" s="423" t="s">
        <v>36</v>
      </c>
      <c r="C10" s="431" t="s">
        <v>37</v>
      </c>
      <c r="D10" s="433">
        <f>SUM(J10:L22)</f>
        <v>45</v>
      </c>
      <c r="E10" s="433">
        <v>6</v>
      </c>
      <c r="F10" s="426" t="s">
        <v>23</v>
      </c>
      <c r="G10" s="197" t="s">
        <v>268</v>
      </c>
      <c r="H10" s="37" t="s">
        <v>38</v>
      </c>
      <c r="K10" s="27">
        <v>3</v>
      </c>
      <c r="M10" s="421" t="s">
        <v>39</v>
      </c>
    </row>
    <row r="11" spans="1:13" ht="24" customHeight="1" x14ac:dyDescent="0.35">
      <c r="A11" s="425"/>
      <c r="B11" s="423"/>
      <c r="C11" s="432"/>
      <c r="D11" s="433"/>
      <c r="E11" s="433"/>
      <c r="F11" s="427"/>
      <c r="G11" s="197" t="s">
        <v>269</v>
      </c>
      <c r="H11" s="198" t="s">
        <v>300</v>
      </c>
      <c r="K11" s="27">
        <v>3</v>
      </c>
      <c r="M11" s="422"/>
    </row>
    <row r="12" spans="1:13" ht="24" customHeight="1" x14ac:dyDescent="0.35">
      <c r="A12" s="425"/>
      <c r="B12" s="423"/>
      <c r="C12" s="432"/>
      <c r="D12" s="433"/>
      <c r="E12" s="433"/>
      <c r="F12" s="427"/>
      <c r="G12" s="197" t="s">
        <v>270</v>
      </c>
      <c r="H12" s="198" t="s">
        <v>300</v>
      </c>
      <c r="K12" s="27">
        <v>3</v>
      </c>
      <c r="M12" s="422"/>
    </row>
    <row r="13" spans="1:13" ht="24.75" customHeight="1" x14ac:dyDescent="0.35">
      <c r="A13" s="425"/>
      <c r="B13" s="423"/>
      <c r="C13" s="432"/>
      <c r="D13" s="433"/>
      <c r="E13" s="433"/>
      <c r="F13" s="427"/>
      <c r="G13" s="197" t="s">
        <v>271</v>
      </c>
      <c r="H13" s="198" t="s">
        <v>300</v>
      </c>
      <c r="I13" s="25"/>
      <c r="K13" s="27">
        <v>3</v>
      </c>
      <c r="M13" s="422"/>
    </row>
    <row r="14" spans="1:13" ht="24.75" customHeight="1" x14ac:dyDescent="0.35">
      <c r="A14" s="425"/>
      <c r="B14" s="423"/>
      <c r="C14" s="432"/>
      <c r="D14" s="433"/>
      <c r="E14" s="433"/>
      <c r="F14" s="427"/>
      <c r="G14" s="25" t="s">
        <v>40</v>
      </c>
      <c r="H14" s="27" t="s">
        <v>25</v>
      </c>
      <c r="I14" s="26" t="s">
        <v>41</v>
      </c>
      <c r="K14" s="27">
        <v>3</v>
      </c>
      <c r="M14" s="422"/>
    </row>
    <row r="15" spans="1:13" ht="24.75" customHeight="1" x14ac:dyDescent="0.35">
      <c r="A15" s="425"/>
      <c r="B15" s="423"/>
      <c r="C15" s="432"/>
      <c r="D15" s="433"/>
      <c r="E15" s="433"/>
      <c r="F15" s="427"/>
      <c r="G15" s="25" t="s">
        <v>42</v>
      </c>
      <c r="H15" s="27" t="s">
        <v>43</v>
      </c>
      <c r="I15" s="27" t="s">
        <v>44</v>
      </c>
      <c r="K15" s="27">
        <v>6</v>
      </c>
      <c r="M15" s="422"/>
    </row>
    <row r="16" spans="1:13" ht="24.75" customHeight="1" x14ac:dyDescent="0.35">
      <c r="A16" s="425"/>
      <c r="B16" s="423"/>
      <c r="C16" s="432"/>
      <c r="D16" s="433"/>
      <c r="E16" s="433"/>
      <c r="F16" s="427"/>
      <c r="G16" s="25" t="s">
        <v>45</v>
      </c>
      <c r="H16" s="27" t="s">
        <v>38</v>
      </c>
      <c r="I16" s="25"/>
      <c r="J16" s="25"/>
      <c r="K16" s="27">
        <v>3</v>
      </c>
      <c r="M16" s="422"/>
    </row>
    <row r="17" spans="1:13" ht="24.75" customHeight="1" x14ac:dyDescent="0.35">
      <c r="A17" s="425"/>
      <c r="B17" s="423"/>
      <c r="C17" s="432"/>
      <c r="D17" s="433"/>
      <c r="E17" s="433"/>
      <c r="F17" s="427"/>
      <c r="G17" s="25" t="s">
        <v>46</v>
      </c>
      <c r="H17" s="27" t="s">
        <v>38</v>
      </c>
      <c r="I17" s="25"/>
      <c r="J17" s="25"/>
      <c r="K17" s="27">
        <v>6</v>
      </c>
      <c r="M17" s="422"/>
    </row>
    <row r="18" spans="1:13" ht="24.75" customHeight="1" x14ac:dyDescent="0.35">
      <c r="A18" s="425"/>
      <c r="B18" s="423"/>
      <c r="C18" s="432"/>
      <c r="D18" s="433"/>
      <c r="E18" s="433"/>
      <c r="F18" s="427"/>
      <c r="G18" s="25" t="s">
        <v>47</v>
      </c>
      <c r="H18" s="27" t="s">
        <v>48</v>
      </c>
      <c r="K18" s="27">
        <v>3</v>
      </c>
      <c r="M18" s="422"/>
    </row>
    <row r="19" spans="1:13" ht="24.75" customHeight="1" x14ac:dyDescent="0.35">
      <c r="A19" s="425"/>
      <c r="B19" s="423"/>
      <c r="C19" s="432"/>
      <c r="D19" s="433"/>
      <c r="E19" s="433"/>
      <c r="F19" s="427"/>
      <c r="G19" s="25" t="s">
        <v>49</v>
      </c>
      <c r="H19" s="27" t="s">
        <v>48</v>
      </c>
      <c r="K19" s="27">
        <v>3</v>
      </c>
      <c r="M19" s="422"/>
    </row>
    <row r="20" spans="1:13" ht="24.75" customHeight="1" x14ac:dyDescent="0.35">
      <c r="A20" s="425"/>
      <c r="B20" s="423"/>
      <c r="C20" s="432"/>
      <c r="D20" s="433"/>
      <c r="E20" s="433"/>
      <c r="F20" s="427"/>
      <c r="G20" s="25" t="s">
        <v>50</v>
      </c>
      <c r="H20" s="27" t="s">
        <v>34</v>
      </c>
      <c r="K20" s="27">
        <v>3</v>
      </c>
      <c r="M20" s="422"/>
    </row>
    <row r="21" spans="1:13" ht="24.75" customHeight="1" x14ac:dyDescent="0.35">
      <c r="A21" s="425"/>
      <c r="B21" s="423"/>
      <c r="C21" s="432"/>
      <c r="D21" s="433"/>
      <c r="E21" s="433"/>
      <c r="F21" s="427"/>
      <c r="G21" s="25" t="s">
        <v>51</v>
      </c>
      <c r="H21" s="27" t="s">
        <v>34</v>
      </c>
      <c r="K21" s="27">
        <v>3</v>
      </c>
      <c r="M21" s="422"/>
    </row>
    <row r="22" spans="1:13" ht="24" customHeight="1" x14ac:dyDescent="0.35">
      <c r="A22" s="425"/>
      <c r="B22" s="423"/>
      <c r="C22" s="432"/>
      <c r="D22" s="433"/>
      <c r="E22" s="433"/>
      <c r="F22" s="427"/>
      <c r="G22" s="28" t="s">
        <v>52</v>
      </c>
      <c r="H22" s="27" t="s">
        <v>48</v>
      </c>
      <c r="I22" s="27" t="s">
        <v>34</v>
      </c>
      <c r="J22" s="25"/>
      <c r="K22" s="27">
        <v>3</v>
      </c>
      <c r="M22" s="422"/>
    </row>
    <row r="23" spans="1:13" ht="24.75" customHeight="1" x14ac:dyDescent="0.35">
      <c r="A23" s="425"/>
      <c r="B23" s="446" t="s">
        <v>53</v>
      </c>
      <c r="C23" s="424" t="s">
        <v>54</v>
      </c>
      <c r="D23" s="422">
        <f>SUM(J23:L30)</f>
        <v>24</v>
      </c>
      <c r="E23" s="422">
        <v>4</v>
      </c>
      <c r="F23" s="426" t="s">
        <v>23</v>
      </c>
      <c r="G23" s="28" t="s">
        <v>55</v>
      </c>
      <c r="H23" s="27" t="s">
        <v>43</v>
      </c>
      <c r="L23" s="27">
        <v>3</v>
      </c>
      <c r="M23" s="421" t="s">
        <v>56</v>
      </c>
    </row>
    <row r="24" spans="1:13" ht="24.75" customHeight="1" x14ac:dyDescent="0.35">
      <c r="A24" s="425"/>
      <c r="B24" s="447"/>
      <c r="C24" s="425"/>
      <c r="D24" s="422"/>
      <c r="E24" s="422"/>
      <c r="F24" s="427"/>
      <c r="G24" s="28" t="s">
        <v>57</v>
      </c>
      <c r="H24" s="27" t="s">
        <v>43</v>
      </c>
      <c r="L24" s="27">
        <v>3</v>
      </c>
      <c r="M24" s="422"/>
    </row>
    <row r="25" spans="1:13" ht="24.75" customHeight="1" x14ac:dyDescent="0.35">
      <c r="A25" s="425"/>
      <c r="B25" s="447"/>
      <c r="C25" s="425"/>
      <c r="D25" s="422"/>
      <c r="E25" s="422"/>
      <c r="F25" s="427"/>
      <c r="G25" s="28" t="s">
        <v>58</v>
      </c>
      <c r="H25" s="27" t="s">
        <v>43</v>
      </c>
      <c r="L25" s="27">
        <v>3</v>
      </c>
      <c r="M25" s="422"/>
    </row>
    <row r="26" spans="1:13" ht="24.75" customHeight="1" x14ac:dyDescent="0.35">
      <c r="A26" s="425"/>
      <c r="B26" s="447"/>
      <c r="C26" s="425"/>
      <c r="D26" s="422"/>
      <c r="E26" s="422"/>
      <c r="F26" s="427"/>
      <c r="G26" s="28" t="s">
        <v>59</v>
      </c>
      <c r="H26" s="27" t="s">
        <v>41</v>
      </c>
      <c r="I26" s="27" t="s">
        <v>43</v>
      </c>
      <c r="L26" s="27">
        <v>3</v>
      </c>
      <c r="M26" s="422"/>
    </row>
    <row r="27" spans="1:13" ht="24" customHeight="1" x14ac:dyDescent="0.35">
      <c r="A27" s="425"/>
      <c r="B27" s="447"/>
      <c r="C27" s="425"/>
      <c r="D27" s="422"/>
      <c r="E27" s="422"/>
      <c r="F27" s="427"/>
      <c r="G27" s="25" t="s">
        <v>60</v>
      </c>
      <c r="H27" s="27" t="s">
        <v>61</v>
      </c>
      <c r="L27" s="27">
        <v>3</v>
      </c>
      <c r="M27" s="422"/>
    </row>
    <row r="28" spans="1:13" ht="24.75" customHeight="1" x14ac:dyDescent="0.35">
      <c r="A28" s="425"/>
      <c r="B28" s="447"/>
      <c r="C28" s="425"/>
      <c r="D28" s="422"/>
      <c r="E28" s="422"/>
      <c r="F28" s="427"/>
      <c r="G28" s="25" t="s">
        <v>62</v>
      </c>
      <c r="H28" s="27" t="s">
        <v>61</v>
      </c>
      <c r="L28" s="27">
        <v>3</v>
      </c>
      <c r="M28" s="422"/>
    </row>
    <row r="29" spans="1:13" ht="24.75" customHeight="1" x14ac:dyDescent="0.35">
      <c r="A29" s="425"/>
      <c r="B29" s="447"/>
      <c r="C29" s="425"/>
      <c r="D29" s="422"/>
      <c r="E29" s="422"/>
      <c r="F29" s="427"/>
      <c r="G29" s="25" t="s">
        <v>63</v>
      </c>
      <c r="H29" s="27" t="s">
        <v>61</v>
      </c>
      <c r="L29" s="27">
        <v>3</v>
      </c>
      <c r="M29" s="422"/>
    </row>
    <row r="30" spans="1:13" ht="24.75" customHeight="1" x14ac:dyDescent="0.35">
      <c r="A30" s="445"/>
      <c r="B30" s="448"/>
      <c r="C30" s="449"/>
      <c r="D30" s="434"/>
      <c r="E30" s="434"/>
      <c r="F30" s="443"/>
      <c r="G30" s="25" t="s">
        <v>64</v>
      </c>
      <c r="H30" s="27" t="s">
        <v>43</v>
      </c>
      <c r="L30" s="27">
        <v>3</v>
      </c>
      <c r="M30" s="434"/>
    </row>
    <row r="31" spans="1:13" ht="24.75" customHeight="1" x14ac:dyDescent="0.35">
      <c r="A31" s="435" t="s">
        <v>65</v>
      </c>
      <c r="B31" s="436" t="s">
        <v>66</v>
      </c>
      <c r="C31" s="437" t="s">
        <v>67</v>
      </c>
      <c r="D31" s="440">
        <f>SUM(J31:L41)</f>
        <v>45</v>
      </c>
      <c r="E31" s="440">
        <v>6</v>
      </c>
      <c r="F31" s="426" t="s">
        <v>23</v>
      </c>
      <c r="G31" s="25" t="s">
        <v>68</v>
      </c>
      <c r="H31" s="27" t="s">
        <v>38</v>
      </c>
      <c r="J31" s="27">
        <v>3</v>
      </c>
      <c r="M31" s="421" t="s">
        <v>69</v>
      </c>
    </row>
    <row r="32" spans="1:13" ht="24.75" customHeight="1" x14ac:dyDescent="0.35">
      <c r="A32" s="435"/>
      <c r="B32" s="436"/>
      <c r="C32" s="438"/>
      <c r="D32" s="441"/>
      <c r="E32" s="441"/>
      <c r="F32" s="427"/>
      <c r="G32" s="28" t="s">
        <v>70</v>
      </c>
      <c r="H32" s="26" t="s">
        <v>71</v>
      </c>
      <c r="I32" s="27" t="s">
        <v>43</v>
      </c>
      <c r="J32" s="27">
        <v>9</v>
      </c>
      <c r="K32" s="25"/>
      <c r="M32" s="422"/>
    </row>
    <row r="33" spans="1:13" ht="24.75" customHeight="1" x14ac:dyDescent="0.35">
      <c r="A33" s="435"/>
      <c r="B33" s="436"/>
      <c r="C33" s="438"/>
      <c r="D33" s="441"/>
      <c r="E33" s="441"/>
      <c r="F33" s="427"/>
      <c r="G33" s="25" t="s">
        <v>72</v>
      </c>
      <c r="H33" s="27" t="s">
        <v>73</v>
      </c>
      <c r="J33" s="27">
        <v>3</v>
      </c>
      <c r="M33" s="422"/>
    </row>
    <row r="34" spans="1:13" ht="24.75" customHeight="1" x14ac:dyDescent="0.35">
      <c r="A34" s="435"/>
      <c r="B34" s="436"/>
      <c r="C34" s="438"/>
      <c r="D34" s="441"/>
      <c r="E34" s="441"/>
      <c r="F34" s="427"/>
      <c r="G34" s="25" t="s">
        <v>74</v>
      </c>
      <c r="H34" s="27" t="s">
        <v>73</v>
      </c>
      <c r="J34" s="27">
        <v>6</v>
      </c>
      <c r="M34" s="422"/>
    </row>
    <row r="35" spans="1:13" ht="24.75" customHeight="1" x14ac:dyDescent="0.35">
      <c r="A35" s="435"/>
      <c r="B35" s="436"/>
      <c r="C35" s="438"/>
      <c r="D35" s="441"/>
      <c r="E35" s="441"/>
      <c r="F35" s="443"/>
      <c r="G35" s="25" t="s">
        <v>75</v>
      </c>
      <c r="H35" s="27" t="s">
        <v>76</v>
      </c>
      <c r="I35" s="27" t="s">
        <v>43</v>
      </c>
      <c r="J35" s="27">
        <v>6</v>
      </c>
      <c r="K35" s="25"/>
      <c r="M35" s="422"/>
    </row>
    <row r="36" spans="1:13" ht="24.75" customHeight="1" x14ac:dyDescent="0.35">
      <c r="A36" s="435"/>
      <c r="B36" s="444" t="s">
        <v>77</v>
      </c>
      <c r="C36" s="438"/>
      <c r="D36" s="441"/>
      <c r="E36" s="441"/>
      <c r="F36" s="426" t="s">
        <v>23</v>
      </c>
      <c r="G36" s="25" t="s">
        <v>78</v>
      </c>
      <c r="H36" s="27" t="s">
        <v>34</v>
      </c>
      <c r="J36" s="27">
        <v>3</v>
      </c>
      <c r="M36" s="422"/>
    </row>
    <row r="37" spans="1:13" ht="24.75" customHeight="1" x14ac:dyDescent="0.35">
      <c r="A37" s="435"/>
      <c r="B37" s="444"/>
      <c r="C37" s="438"/>
      <c r="D37" s="441"/>
      <c r="E37" s="441"/>
      <c r="F37" s="427"/>
      <c r="G37" s="25" t="s">
        <v>79</v>
      </c>
      <c r="H37" s="27" t="s">
        <v>34</v>
      </c>
      <c r="J37" s="27">
        <v>3</v>
      </c>
      <c r="M37" s="422"/>
    </row>
    <row r="38" spans="1:13" ht="24.75" customHeight="1" x14ac:dyDescent="0.35">
      <c r="A38" s="435"/>
      <c r="B38" s="444"/>
      <c r="C38" s="438"/>
      <c r="D38" s="441"/>
      <c r="E38" s="441"/>
      <c r="F38" s="427"/>
      <c r="G38" s="31" t="s">
        <v>80</v>
      </c>
      <c r="H38" s="27" t="s">
        <v>34</v>
      </c>
      <c r="K38" s="27">
        <v>3</v>
      </c>
      <c r="M38" s="422"/>
    </row>
    <row r="39" spans="1:13" ht="24.75" customHeight="1" x14ac:dyDescent="0.35">
      <c r="A39" s="435"/>
      <c r="B39" s="444"/>
      <c r="C39" s="438"/>
      <c r="D39" s="441"/>
      <c r="E39" s="441"/>
      <c r="F39" s="427"/>
      <c r="G39" s="25" t="s">
        <v>81</v>
      </c>
      <c r="H39" s="27" t="s">
        <v>34</v>
      </c>
      <c r="K39" s="27">
        <v>3</v>
      </c>
      <c r="M39" s="422"/>
    </row>
    <row r="40" spans="1:13" ht="24.75" customHeight="1" x14ac:dyDescent="0.35">
      <c r="A40" s="435"/>
      <c r="B40" s="444"/>
      <c r="C40" s="438"/>
      <c r="D40" s="441"/>
      <c r="E40" s="441"/>
      <c r="F40" s="427"/>
      <c r="G40" s="25" t="s">
        <v>82</v>
      </c>
      <c r="H40" s="27" t="s">
        <v>34</v>
      </c>
      <c r="K40" s="27">
        <v>3</v>
      </c>
      <c r="M40" s="422"/>
    </row>
    <row r="41" spans="1:13" ht="24.75" customHeight="1" x14ac:dyDescent="0.35">
      <c r="A41" s="435"/>
      <c r="B41" s="444"/>
      <c r="C41" s="439"/>
      <c r="D41" s="442"/>
      <c r="E41" s="442"/>
      <c r="F41" s="443"/>
      <c r="G41" s="32" t="s">
        <v>83</v>
      </c>
      <c r="H41" s="27" t="s">
        <v>34</v>
      </c>
      <c r="K41" s="27">
        <v>3</v>
      </c>
      <c r="M41" s="434"/>
    </row>
    <row r="42" spans="1:13" ht="24.75" customHeight="1" x14ac:dyDescent="0.35">
      <c r="A42" s="435"/>
      <c r="B42" s="436" t="s">
        <v>84</v>
      </c>
      <c r="C42" s="435" t="s">
        <v>85</v>
      </c>
      <c r="D42" s="426">
        <f>SUM(J42:L47)</f>
        <v>18</v>
      </c>
      <c r="E42" s="450">
        <v>4</v>
      </c>
      <c r="F42" s="451" t="s">
        <v>23</v>
      </c>
      <c r="G42" s="28" t="s">
        <v>262</v>
      </c>
      <c r="H42" s="26" t="s">
        <v>38</v>
      </c>
      <c r="K42" s="27">
        <v>3</v>
      </c>
      <c r="M42" s="421" t="s">
        <v>86</v>
      </c>
    </row>
    <row r="43" spans="1:13" ht="24.75" customHeight="1" x14ac:dyDescent="0.35">
      <c r="A43" s="435"/>
      <c r="B43" s="436"/>
      <c r="C43" s="435"/>
      <c r="D43" s="427"/>
      <c r="E43" s="450"/>
      <c r="F43" s="451"/>
      <c r="G43" s="28" t="s">
        <v>263</v>
      </c>
      <c r="H43" s="26" t="s">
        <v>38</v>
      </c>
      <c r="K43" s="27">
        <v>3</v>
      </c>
      <c r="M43" s="422"/>
    </row>
    <row r="44" spans="1:13" ht="24.75" customHeight="1" x14ac:dyDescent="0.35">
      <c r="A44" s="435"/>
      <c r="B44" s="436"/>
      <c r="C44" s="435"/>
      <c r="D44" s="427"/>
      <c r="E44" s="450"/>
      <c r="F44" s="451"/>
      <c r="G44" s="28" t="s">
        <v>301</v>
      </c>
      <c r="H44" s="26" t="s">
        <v>38</v>
      </c>
      <c r="K44" s="27">
        <v>3</v>
      </c>
      <c r="M44" s="422"/>
    </row>
    <row r="45" spans="1:13" ht="24.75" customHeight="1" x14ac:dyDescent="0.35">
      <c r="A45" s="435"/>
      <c r="B45" s="436"/>
      <c r="C45" s="435"/>
      <c r="D45" s="427"/>
      <c r="E45" s="450"/>
      <c r="F45" s="451"/>
      <c r="G45" s="28" t="s">
        <v>264</v>
      </c>
      <c r="H45" s="26" t="s">
        <v>38</v>
      </c>
      <c r="I45" s="26" t="s">
        <v>94</v>
      </c>
      <c r="K45" s="27">
        <v>3</v>
      </c>
      <c r="M45" s="422"/>
    </row>
    <row r="46" spans="1:13" ht="24.75" customHeight="1" x14ac:dyDescent="0.35">
      <c r="A46" s="435"/>
      <c r="B46" s="436"/>
      <c r="C46" s="435"/>
      <c r="D46" s="427"/>
      <c r="E46" s="450"/>
      <c r="F46" s="451"/>
      <c r="G46" s="25" t="s">
        <v>87</v>
      </c>
      <c r="H46" s="27" t="s">
        <v>88</v>
      </c>
      <c r="K46" s="27">
        <v>3</v>
      </c>
      <c r="M46" s="422"/>
    </row>
    <row r="47" spans="1:13" ht="24.75" customHeight="1" x14ac:dyDescent="0.35">
      <c r="A47" s="435"/>
      <c r="B47" s="436"/>
      <c r="C47" s="435"/>
      <c r="D47" s="427"/>
      <c r="E47" s="450"/>
      <c r="F47" s="451"/>
      <c r="G47" s="25" t="s">
        <v>89</v>
      </c>
      <c r="H47" s="27" t="s">
        <v>29</v>
      </c>
      <c r="K47" s="27">
        <v>3</v>
      </c>
      <c r="M47" s="422"/>
    </row>
    <row r="48" spans="1:13" ht="24.75" customHeight="1" x14ac:dyDescent="0.35">
      <c r="A48" s="425" t="s">
        <v>90</v>
      </c>
      <c r="B48" s="446" t="s">
        <v>91</v>
      </c>
      <c r="C48" s="424" t="s">
        <v>92</v>
      </c>
      <c r="D48" s="426">
        <f>SUM(J48:L55)</f>
        <v>24</v>
      </c>
      <c r="E48" s="426">
        <v>4</v>
      </c>
      <c r="F48" s="430" t="s">
        <v>23</v>
      </c>
      <c r="G48" s="25" t="s">
        <v>93</v>
      </c>
      <c r="H48" s="27" t="s">
        <v>94</v>
      </c>
      <c r="K48" s="27">
        <v>3</v>
      </c>
      <c r="L48" s="33"/>
      <c r="M48" s="421" t="s">
        <v>96</v>
      </c>
    </row>
    <row r="49" spans="1:13" ht="24.75" customHeight="1" x14ac:dyDescent="0.35">
      <c r="A49" s="425"/>
      <c r="B49" s="447"/>
      <c r="C49" s="425"/>
      <c r="D49" s="427"/>
      <c r="E49" s="427"/>
      <c r="F49" s="430"/>
      <c r="G49" s="25" t="s">
        <v>97</v>
      </c>
      <c r="H49" s="27" t="s">
        <v>94</v>
      </c>
      <c r="K49" s="27">
        <v>3</v>
      </c>
      <c r="L49" s="34"/>
      <c r="M49" s="422"/>
    </row>
    <row r="50" spans="1:13" ht="24.75" customHeight="1" x14ac:dyDescent="0.35">
      <c r="A50" s="425"/>
      <c r="B50" s="447"/>
      <c r="C50" s="425"/>
      <c r="D50" s="427"/>
      <c r="E50" s="427"/>
      <c r="F50" s="430"/>
      <c r="G50" s="25" t="s">
        <v>98</v>
      </c>
      <c r="H50" s="27" t="s">
        <v>94</v>
      </c>
      <c r="K50" s="27">
        <v>3</v>
      </c>
      <c r="L50" s="33"/>
      <c r="M50" s="422"/>
    </row>
    <row r="51" spans="1:13" ht="24.75" customHeight="1" x14ac:dyDescent="0.35">
      <c r="A51" s="425"/>
      <c r="B51" s="447"/>
      <c r="C51" s="425"/>
      <c r="D51" s="427"/>
      <c r="E51" s="427"/>
      <c r="F51" s="430"/>
      <c r="G51" s="25" t="s">
        <v>99</v>
      </c>
      <c r="H51" s="27" t="s">
        <v>94</v>
      </c>
      <c r="I51" s="26" t="s">
        <v>95</v>
      </c>
      <c r="K51" s="27">
        <v>3</v>
      </c>
      <c r="L51" s="34"/>
      <c r="M51" s="422"/>
    </row>
    <row r="52" spans="1:13" ht="24.75" customHeight="1" x14ac:dyDescent="0.35">
      <c r="A52" s="425"/>
      <c r="B52" s="447"/>
      <c r="C52" s="425"/>
      <c r="D52" s="427"/>
      <c r="E52" s="427"/>
      <c r="F52" s="430"/>
      <c r="G52" s="28" t="s">
        <v>100</v>
      </c>
      <c r="H52" s="27" t="s">
        <v>101</v>
      </c>
      <c r="I52" s="27" t="s">
        <v>102</v>
      </c>
      <c r="K52" s="27">
        <v>3</v>
      </c>
      <c r="L52" s="34"/>
      <c r="M52" s="422"/>
    </row>
    <row r="53" spans="1:13" ht="24.75" customHeight="1" x14ac:dyDescent="0.35">
      <c r="A53" s="425"/>
      <c r="B53" s="447"/>
      <c r="C53" s="425"/>
      <c r="D53" s="427"/>
      <c r="E53" s="427"/>
      <c r="F53" s="430"/>
      <c r="G53" s="25" t="s">
        <v>103</v>
      </c>
      <c r="H53" s="27" t="s">
        <v>94</v>
      </c>
      <c r="J53" s="25"/>
      <c r="L53" s="33">
        <v>3</v>
      </c>
      <c r="M53" s="422"/>
    </row>
    <row r="54" spans="1:13" ht="24.75" customHeight="1" x14ac:dyDescent="0.35">
      <c r="A54" s="425"/>
      <c r="B54" s="447"/>
      <c r="C54" s="425"/>
      <c r="D54" s="427"/>
      <c r="E54" s="427"/>
      <c r="F54" s="430"/>
      <c r="G54" s="25" t="s">
        <v>104</v>
      </c>
      <c r="H54" s="27" t="s">
        <v>94</v>
      </c>
      <c r="L54" s="33">
        <v>3</v>
      </c>
      <c r="M54" s="422"/>
    </row>
    <row r="55" spans="1:13" ht="24.75" customHeight="1" x14ac:dyDescent="0.35">
      <c r="A55" s="425"/>
      <c r="B55" s="29"/>
      <c r="C55" s="449"/>
      <c r="D55" s="443"/>
      <c r="E55" s="443"/>
      <c r="F55" s="24"/>
      <c r="G55" s="28" t="s">
        <v>105</v>
      </c>
      <c r="H55" s="27" t="s">
        <v>101</v>
      </c>
      <c r="I55" s="27" t="s">
        <v>102</v>
      </c>
      <c r="L55" s="33">
        <v>3</v>
      </c>
      <c r="M55" s="434"/>
    </row>
    <row r="56" spans="1:13" ht="24.75" customHeight="1" x14ac:dyDescent="0.35">
      <c r="A56" s="425"/>
      <c r="B56" s="452" t="s">
        <v>106</v>
      </c>
      <c r="C56" s="437" t="s">
        <v>107</v>
      </c>
      <c r="D56" s="440">
        <f>SUM(J56:L66)</f>
        <v>36</v>
      </c>
      <c r="E56" s="455">
        <v>6</v>
      </c>
      <c r="F56" s="24"/>
      <c r="G56" s="25" t="s">
        <v>108</v>
      </c>
      <c r="H56" s="27" t="s">
        <v>109</v>
      </c>
      <c r="K56" s="27">
        <v>3</v>
      </c>
      <c r="M56" s="421" t="s">
        <v>110</v>
      </c>
    </row>
    <row r="57" spans="1:13" ht="24.75" customHeight="1" x14ac:dyDescent="0.35">
      <c r="A57" s="425"/>
      <c r="B57" s="453"/>
      <c r="C57" s="438"/>
      <c r="D57" s="441"/>
      <c r="E57" s="456"/>
      <c r="F57" s="24"/>
      <c r="G57" s="31" t="s">
        <v>111</v>
      </c>
      <c r="H57" s="35" t="s">
        <v>112</v>
      </c>
      <c r="K57" s="27">
        <v>3</v>
      </c>
      <c r="M57" s="422"/>
    </row>
    <row r="58" spans="1:13" ht="24.75" customHeight="1" x14ac:dyDescent="0.35">
      <c r="A58" s="425"/>
      <c r="B58" s="453"/>
      <c r="C58" s="438"/>
      <c r="D58" s="441"/>
      <c r="E58" s="456"/>
      <c r="F58" s="24"/>
      <c r="G58" s="25" t="s">
        <v>113</v>
      </c>
      <c r="H58" s="27" t="s">
        <v>109</v>
      </c>
      <c r="I58" s="24"/>
      <c r="L58" s="27">
        <v>3</v>
      </c>
      <c r="M58" s="422"/>
    </row>
    <row r="59" spans="1:13" ht="24.75" customHeight="1" x14ac:dyDescent="0.35">
      <c r="A59" s="425"/>
      <c r="B59" s="453"/>
      <c r="C59" s="438"/>
      <c r="D59" s="441"/>
      <c r="E59" s="456"/>
      <c r="F59" s="24"/>
      <c r="G59" s="28" t="s">
        <v>114</v>
      </c>
      <c r="H59" s="27" t="s">
        <v>109</v>
      </c>
      <c r="L59" s="27">
        <v>3</v>
      </c>
      <c r="M59" s="422"/>
    </row>
    <row r="60" spans="1:13" ht="24.75" customHeight="1" x14ac:dyDescent="0.35">
      <c r="A60" s="425"/>
      <c r="B60" s="453"/>
      <c r="C60" s="438"/>
      <c r="D60" s="441"/>
      <c r="E60" s="456"/>
      <c r="F60" s="24"/>
      <c r="G60" s="25" t="s">
        <v>115</v>
      </c>
      <c r="H60" s="27" t="s">
        <v>109</v>
      </c>
      <c r="L60" s="27">
        <v>3</v>
      </c>
      <c r="M60" s="422"/>
    </row>
    <row r="61" spans="1:13" ht="24.75" customHeight="1" x14ac:dyDescent="0.35">
      <c r="A61" s="425"/>
      <c r="B61" s="454"/>
      <c r="C61" s="438"/>
      <c r="D61" s="441"/>
      <c r="E61" s="456"/>
      <c r="F61" s="24"/>
      <c r="G61" s="25" t="s">
        <v>116</v>
      </c>
      <c r="H61" s="27" t="s">
        <v>109</v>
      </c>
      <c r="L61" s="27">
        <v>3</v>
      </c>
      <c r="M61" s="422"/>
    </row>
    <row r="62" spans="1:13" ht="24" customHeight="1" x14ac:dyDescent="0.35">
      <c r="A62" s="425"/>
      <c r="B62" s="423" t="s">
        <v>117</v>
      </c>
      <c r="C62" s="438"/>
      <c r="D62" s="441"/>
      <c r="E62" s="456"/>
      <c r="F62" s="430" t="s">
        <v>23</v>
      </c>
      <c r="G62" s="36" t="s">
        <v>118</v>
      </c>
      <c r="H62" s="27" t="s">
        <v>119</v>
      </c>
      <c r="L62" s="33">
        <v>3</v>
      </c>
      <c r="M62" s="422"/>
    </row>
    <row r="63" spans="1:13" ht="24" customHeight="1" x14ac:dyDescent="0.35">
      <c r="A63" s="425"/>
      <c r="B63" s="423"/>
      <c r="C63" s="438"/>
      <c r="D63" s="441"/>
      <c r="E63" s="456"/>
      <c r="F63" s="430"/>
      <c r="G63" s="36" t="s">
        <v>120</v>
      </c>
      <c r="H63" s="27" t="s">
        <v>119</v>
      </c>
      <c r="L63" s="33">
        <v>6</v>
      </c>
      <c r="M63" s="422"/>
    </row>
    <row r="64" spans="1:13" ht="24.75" customHeight="1" x14ac:dyDescent="0.35">
      <c r="A64" s="425"/>
      <c r="B64" s="423"/>
      <c r="C64" s="438"/>
      <c r="D64" s="441"/>
      <c r="E64" s="456"/>
      <c r="F64" s="430"/>
      <c r="G64" s="36" t="s">
        <v>121</v>
      </c>
      <c r="H64" s="27" t="s">
        <v>119</v>
      </c>
      <c r="L64" s="33">
        <v>3</v>
      </c>
      <c r="M64" s="422"/>
    </row>
    <row r="65" spans="1:13" ht="24.75" customHeight="1" x14ac:dyDescent="0.35">
      <c r="A65" s="425"/>
      <c r="B65" s="423"/>
      <c r="C65" s="438"/>
      <c r="D65" s="441"/>
      <c r="E65" s="456"/>
      <c r="F65" s="430"/>
      <c r="G65" s="36" t="s">
        <v>122</v>
      </c>
      <c r="H65" s="27" t="s">
        <v>119</v>
      </c>
      <c r="I65" s="25"/>
      <c r="J65" s="25"/>
      <c r="K65" s="25"/>
      <c r="L65" s="33">
        <v>3</v>
      </c>
      <c r="M65" s="422"/>
    </row>
    <row r="66" spans="1:13" ht="24" customHeight="1" x14ac:dyDescent="0.35">
      <c r="A66" s="425"/>
      <c r="B66" s="423"/>
      <c r="C66" s="439"/>
      <c r="D66" s="442"/>
      <c r="E66" s="457"/>
      <c r="F66" s="430"/>
      <c r="G66" s="28" t="s">
        <v>123</v>
      </c>
      <c r="H66" s="27" t="s">
        <v>119</v>
      </c>
      <c r="I66" s="25"/>
      <c r="J66" s="25"/>
      <c r="K66" s="25"/>
      <c r="L66" s="33">
        <v>3</v>
      </c>
      <c r="M66" s="434"/>
    </row>
    <row r="67" spans="1:13" ht="24.75" customHeight="1" x14ac:dyDescent="0.35">
      <c r="A67" s="424" t="s">
        <v>124</v>
      </c>
      <c r="B67" s="446" t="s">
        <v>125</v>
      </c>
      <c r="C67" s="424" t="s">
        <v>124</v>
      </c>
      <c r="D67" s="426">
        <f>SUM(J67:L69)</f>
        <v>33</v>
      </c>
      <c r="E67" s="426">
        <v>6</v>
      </c>
      <c r="F67" s="426" t="s">
        <v>23</v>
      </c>
      <c r="G67" s="25" t="s">
        <v>126</v>
      </c>
      <c r="H67" s="27" t="s">
        <v>43</v>
      </c>
      <c r="J67" s="27">
        <v>3</v>
      </c>
      <c r="M67" s="458" t="s">
        <v>337</v>
      </c>
    </row>
    <row r="68" spans="1:13" ht="24.75" customHeight="1" x14ac:dyDescent="0.35">
      <c r="A68" s="425"/>
      <c r="B68" s="447"/>
      <c r="C68" s="425"/>
      <c r="D68" s="427"/>
      <c r="E68" s="427"/>
      <c r="F68" s="427"/>
      <c r="G68" s="25" t="s">
        <v>127</v>
      </c>
      <c r="H68" s="27" t="s">
        <v>43</v>
      </c>
      <c r="I68" s="27" t="s">
        <v>95</v>
      </c>
      <c r="J68" s="27">
        <v>3</v>
      </c>
      <c r="M68" s="458"/>
    </row>
    <row r="69" spans="1:13" ht="24.75" customHeight="1" x14ac:dyDescent="0.35">
      <c r="A69" s="425"/>
      <c r="B69" s="447"/>
      <c r="C69" s="425"/>
      <c r="D69" s="427"/>
      <c r="E69" s="427"/>
      <c r="F69" s="427"/>
      <c r="G69" s="25" t="s">
        <v>128</v>
      </c>
      <c r="H69" s="27" t="s">
        <v>129</v>
      </c>
      <c r="I69" s="27" t="s">
        <v>43</v>
      </c>
      <c r="J69" s="27">
        <v>9</v>
      </c>
      <c r="K69" s="27">
        <v>6</v>
      </c>
      <c r="L69" s="27">
        <v>12</v>
      </c>
      <c r="M69" s="458"/>
    </row>
    <row r="70" spans="1:13" ht="24.75" customHeight="1" x14ac:dyDescent="0.35">
      <c r="A70" s="424" t="s">
        <v>130</v>
      </c>
      <c r="B70" s="446" t="s">
        <v>131</v>
      </c>
      <c r="C70" s="424" t="s">
        <v>132</v>
      </c>
      <c r="D70" s="426">
        <f>SUM(J70:L81)</f>
        <v>66</v>
      </c>
      <c r="E70" s="459">
        <v>20</v>
      </c>
      <c r="F70" s="426" t="s">
        <v>23</v>
      </c>
      <c r="G70" s="25" t="s">
        <v>133</v>
      </c>
      <c r="H70" s="27" t="s">
        <v>129</v>
      </c>
      <c r="I70" s="27" t="s">
        <v>43</v>
      </c>
      <c r="J70" s="27">
        <v>3</v>
      </c>
      <c r="M70" s="421" t="s">
        <v>134</v>
      </c>
    </row>
    <row r="71" spans="1:13" ht="24.75" customHeight="1" x14ac:dyDescent="0.35">
      <c r="A71" s="425"/>
      <c r="B71" s="447"/>
      <c r="C71" s="425"/>
      <c r="D71" s="427"/>
      <c r="E71" s="460"/>
      <c r="F71" s="427"/>
      <c r="G71" s="25" t="s">
        <v>135</v>
      </c>
      <c r="H71" s="27" t="s">
        <v>129</v>
      </c>
      <c r="I71" s="27" t="s">
        <v>43</v>
      </c>
      <c r="J71" s="27">
        <v>3</v>
      </c>
      <c r="M71" s="422"/>
    </row>
    <row r="72" spans="1:13" ht="24.75" customHeight="1" x14ac:dyDescent="0.35">
      <c r="A72" s="425"/>
      <c r="B72" s="447"/>
      <c r="C72" s="425"/>
      <c r="D72" s="427"/>
      <c r="E72" s="460"/>
      <c r="F72" s="427"/>
      <c r="G72" s="25" t="s">
        <v>136</v>
      </c>
      <c r="H72" s="27" t="s">
        <v>101</v>
      </c>
      <c r="J72" s="27">
        <v>3</v>
      </c>
      <c r="M72" s="422"/>
    </row>
    <row r="73" spans="1:13" ht="24.75" customHeight="1" x14ac:dyDescent="0.35">
      <c r="A73" s="425"/>
      <c r="B73" s="447"/>
      <c r="C73" s="425"/>
      <c r="D73" s="427"/>
      <c r="E73" s="460"/>
      <c r="F73" s="427"/>
      <c r="G73" s="31" t="s">
        <v>137</v>
      </c>
      <c r="H73" s="27" t="s">
        <v>138</v>
      </c>
      <c r="J73" s="27">
        <v>3</v>
      </c>
      <c r="M73" s="422"/>
    </row>
    <row r="74" spans="1:13" ht="24.75" customHeight="1" x14ac:dyDescent="0.35">
      <c r="A74" s="425"/>
      <c r="B74" s="447"/>
      <c r="C74" s="425"/>
      <c r="D74" s="427"/>
      <c r="E74" s="460"/>
      <c r="F74" s="427"/>
      <c r="G74" s="31" t="s">
        <v>139</v>
      </c>
      <c r="H74" s="27" t="s">
        <v>138</v>
      </c>
      <c r="J74" s="27">
        <v>3</v>
      </c>
      <c r="M74" s="422"/>
    </row>
    <row r="75" spans="1:13" ht="24.75" customHeight="1" x14ac:dyDescent="0.35">
      <c r="A75" s="425"/>
      <c r="B75" s="447"/>
      <c r="C75" s="425"/>
      <c r="D75" s="427"/>
      <c r="E75" s="460"/>
      <c r="F75" s="427"/>
      <c r="G75" s="25" t="s">
        <v>140</v>
      </c>
      <c r="H75" s="27" t="s">
        <v>129</v>
      </c>
      <c r="I75" s="27" t="s">
        <v>43</v>
      </c>
      <c r="J75" s="27">
        <v>6</v>
      </c>
      <c r="M75" s="422"/>
    </row>
    <row r="76" spans="1:13" ht="24" customHeight="1" x14ac:dyDescent="0.35">
      <c r="A76" s="425"/>
      <c r="B76" s="447"/>
      <c r="C76" s="425"/>
      <c r="D76" s="427"/>
      <c r="E76" s="460"/>
      <c r="F76" s="427"/>
      <c r="G76" s="25" t="s">
        <v>141</v>
      </c>
      <c r="H76" s="27" t="s">
        <v>129</v>
      </c>
      <c r="I76" s="27" t="s">
        <v>43</v>
      </c>
      <c r="J76" s="27">
        <v>3</v>
      </c>
      <c r="M76" s="422"/>
    </row>
    <row r="77" spans="1:13" ht="24" customHeight="1" x14ac:dyDescent="0.35">
      <c r="A77" s="425"/>
      <c r="B77" s="447"/>
      <c r="C77" s="425"/>
      <c r="D77" s="427"/>
      <c r="E77" s="460"/>
      <c r="F77" s="427"/>
      <c r="G77" s="25" t="s">
        <v>142</v>
      </c>
      <c r="H77" s="27" t="s">
        <v>43</v>
      </c>
      <c r="J77" s="27">
        <v>3</v>
      </c>
      <c r="M77" s="422"/>
    </row>
    <row r="78" spans="1:13" ht="24" customHeight="1" x14ac:dyDescent="0.35">
      <c r="A78" s="425"/>
      <c r="B78" s="447"/>
      <c r="C78" s="425"/>
      <c r="D78" s="427"/>
      <c r="E78" s="460"/>
      <c r="F78" s="427"/>
      <c r="G78" s="25" t="s">
        <v>143</v>
      </c>
      <c r="H78" s="27" t="s">
        <v>43</v>
      </c>
      <c r="J78" s="27">
        <v>3</v>
      </c>
      <c r="M78" s="422"/>
    </row>
    <row r="79" spans="1:13" ht="24.75" customHeight="1" x14ac:dyDescent="0.35">
      <c r="A79" s="425"/>
      <c r="B79" s="447"/>
      <c r="C79" s="425"/>
      <c r="D79" s="427"/>
      <c r="E79" s="460"/>
      <c r="F79" s="427"/>
      <c r="G79" s="25" t="s">
        <v>144</v>
      </c>
      <c r="H79" s="27" t="s">
        <v>129</v>
      </c>
      <c r="I79" s="27" t="s">
        <v>43</v>
      </c>
      <c r="K79" s="27">
        <v>6</v>
      </c>
      <c r="L79" s="27">
        <v>6</v>
      </c>
      <c r="M79" s="422"/>
    </row>
    <row r="80" spans="1:13" ht="24.75" customHeight="1" x14ac:dyDescent="0.35">
      <c r="A80" s="425"/>
      <c r="B80" s="447"/>
      <c r="C80" s="425"/>
      <c r="D80" s="427"/>
      <c r="E80" s="460"/>
      <c r="F80" s="427"/>
      <c r="G80" s="25" t="s">
        <v>145</v>
      </c>
      <c r="H80" s="26" t="s">
        <v>331</v>
      </c>
      <c r="I80" s="27" t="s">
        <v>43</v>
      </c>
      <c r="L80" s="27">
        <v>12</v>
      </c>
      <c r="M80" s="422"/>
    </row>
    <row r="81" spans="1:13" ht="24.75" customHeight="1" x14ac:dyDescent="0.35">
      <c r="A81" s="425"/>
      <c r="B81" s="447"/>
      <c r="C81" s="425"/>
      <c r="D81" s="427"/>
      <c r="E81" s="460"/>
      <c r="F81" s="427"/>
      <c r="G81" s="25" t="s">
        <v>147</v>
      </c>
      <c r="H81" s="37" t="s">
        <v>148</v>
      </c>
      <c r="I81" s="37" t="s">
        <v>149</v>
      </c>
      <c r="L81" s="27">
        <v>12</v>
      </c>
      <c r="M81" s="434"/>
    </row>
    <row r="82" spans="1:13" x14ac:dyDescent="0.35">
      <c r="D82" s="39">
        <f>SUM(D3:D80)</f>
        <v>312</v>
      </c>
      <c r="E82" s="40">
        <f>SUM(E3:E81)</f>
        <v>60</v>
      </c>
      <c r="H82" s="25"/>
      <c r="I82" s="41" t="s">
        <v>150</v>
      </c>
      <c r="J82" s="39">
        <f>SUM(J3:J81)</f>
        <v>99</v>
      </c>
      <c r="K82" s="39">
        <f>SUM(K3:K81)</f>
        <v>108</v>
      </c>
      <c r="L82" s="39">
        <f>SUM(L3:L81)</f>
        <v>105</v>
      </c>
      <c r="M82" s="39">
        <f>SUM(J82:L82)</f>
        <v>312</v>
      </c>
    </row>
    <row r="83" spans="1:13" x14ac:dyDescent="0.35">
      <c r="H83" s="25"/>
      <c r="I83" s="41" t="s">
        <v>151</v>
      </c>
      <c r="J83" s="39">
        <f>J82/3</f>
        <v>33</v>
      </c>
      <c r="K83" s="39">
        <f>K82/3</f>
        <v>36</v>
      </c>
      <c r="L83" s="39">
        <f>L82/3</f>
        <v>35</v>
      </c>
      <c r="M83" s="39">
        <f>M82/3</f>
        <v>104</v>
      </c>
    </row>
    <row r="84" spans="1:13" x14ac:dyDescent="0.35">
      <c r="D84" s="43"/>
      <c r="G84" s="44" t="s">
        <v>152</v>
      </c>
    </row>
    <row r="85" spans="1:13" x14ac:dyDescent="0.35">
      <c r="G85" s="45" t="s">
        <v>153</v>
      </c>
      <c r="M85" s="27"/>
    </row>
    <row r="86" spans="1:13" x14ac:dyDescent="0.35">
      <c r="G86" s="46" t="s">
        <v>154</v>
      </c>
    </row>
  </sheetData>
  <mergeCells count="62">
    <mergeCell ref="F67:F69"/>
    <mergeCell ref="M67:M69"/>
    <mergeCell ref="A70:A81"/>
    <mergeCell ref="B70:B81"/>
    <mergeCell ref="C70:C81"/>
    <mergeCell ref="D70:D81"/>
    <mergeCell ref="E70:E81"/>
    <mergeCell ref="F70:F81"/>
    <mergeCell ref="M70:M81"/>
    <mergeCell ref="A67:A69"/>
    <mergeCell ref="B67:B69"/>
    <mergeCell ref="C67:C69"/>
    <mergeCell ref="D67:D69"/>
    <mergeCell ref="E67:E69"/>
    <mergeCell ref="M42:M47"/>
    <mergeCell ref="A48:A66"/>
    <mergeCell ref="B48:B54"/>
    <mergeCell ref="C48:C55"/>
    <mergeCell ref="D48:D55"/>
    <mergeCell ref="E48:E55"/>
    <mergeCell ref="F48:F54"/>
    <mergeCell ref="M48:M55"/>
    <mergeCell ref="B56:B61"/>
    <mergeCell ref="C56:C66"/>
    <mergeCell ref="D56:D66"/>
    <mergeCell ref="E56:E66"/>
    <mergeCell ref="M56:M66"/>
    <mergeCell ref="B62:B66"/>
    <mergeCell ref="F62:F66"/>
    <mergeCell ref="B42:B47"/>
    <mergeCell ref="C42:C47"/>
    <mergeCell ref="D42:D47"/>
    <mergeCell ref="E42:E47"/>
    <mergeCell ref="F42:F47"/>
    <mergeCell ref="F23:F30"/>
    <mergeCell ref="M23:M30"/>
    <mergeCell ref="A31:A47"/>
    <mergeCell ref="B31:B35"/>
    <mergeCell ref="C31:C41"/>
    <mergeCell ref="D31:D41"/>
    <mergeCell ref="E31:E41"/>
    <mergeCell ref="F31:F35"/>
    <mergeCell ref="M31:M41"/>
    <mergeCell ref="B36:B41"/>
    <mergeCell ref="A3:A30"/>
    <mergeCell ref="B23:B30"/>
    <mergeCell ref="C23:C30"/>
    <mergeCell ref="D23:D30"/>
    <mergeCell ref="E23:E30"/>
    <mergeCell ref="F36:F41"/>
    <mergeCell ref="M3:M9"/>
    <mergeCell ref="M10:M22"/>
    <mergeCell ref="B3:B9"/>
    <mergeCell ref="C3:C9"/>
    <mergeCell ref="D3:D9"/>
    <mergeCell ref="E3:E9"/>
    <mergeCell ref="F3:F9"/>
    <mergeCell ref="B10:B22"/>
    <mergeCell ref="C10:C22"/>
    <mergeCell ref="D10:D22"/>
    <mergeCell ref="E10:E22"/>
    <mergeCell ref="F10:F2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9F842-0C6D-4A05-804A-6858CCC2880E}">
  <dimension ref="A1:O300"/>
  <sheetViews>
    <sheetView topLeftCell="A15" zoomScale="80" zoomScaleNormal="80" workbookViewId="0">
      <selection activeCell="G39" sqref="G39"/>
    </sheetView>
  </sheetViews>
  <sheetFormatPr baseColWidth="10" defaultColWidth="11.453125" defaultRowHeight="14.5" x14ac:dyDescent="0.35"/>
  <cols>
    <col min="1" max="1" width="7.81640625" style="350" customWidth="1"/>
    <col min="2" max="2" width="17.1796875" style="351" customWidth="1"/>
    <col min="3" max="5" width="11.453125" hidden="1" customWidth="1"/>
    <col min="6" max="6" width="56.7265625" bestFit="1" customWidth="1"/>
    <col min="7" max="7" width="72.7265625" bestFit="1" customWidth="1"/>
    <col min="8" max="8" width="21.26953125" style="296" bestFit="1" customWidth="1"/>
    <col min="9" max="9" width="19.81640625" style="47" customWidth="1"/>
    <col min="10" max="10" width="10.81640625" customWidth="1"/>
    <col min="11" max="11" width="6.453125" style="32" customWidth="1"/>
    <col min="12" max="12" width="6.81640625" style="349" customWidth="1"/>
    <col min="13" max="13" width="7" style="32" customWidth="1"/>
    <col min="14" max="14" width="15.26953125" customWidth="1"/>
  </cols>
  <sheetData>
    <row r="1" spans="1:14" ht="25.9" customHeight="1" x14ac:dyDescent="0.35">
      <c r="A1" s="199" t="s">
        <v>302</v>
      </c>
      <c r="B1" s="200" t="s">
        <v>303</v>
      </c>
      <c r="C1" s="201" t="s">
        <v>304</v>
      </c>
      <c r="D1" s="201" t="s">
        <v>305</v>
      </c>
      <c r="E1" s="202" t="s">
        <v>306</v>
      </c>
      <c r="F1" s="200" t="s">
        <v>307</v>
      </c>
      <c r="G1" s="200" t="s">
        <v>308</v>
      </c>
      <c r="H1" s="200" t="s">
        <v>309</v>
      </c>
      <c r="I1" s="200" t="s">
        <v>310</v>
      </c>
      <c r="J1" s="202" t="s">
        <v>311</v>
      </c>
      <c r="K1" s="202" t="s">
        <v>312</v>
      </c>
      <c r="L1" s="202" t="s">
        <v>313</v>
      </c>
      <c r="M1" s="202" t="s">
        <v>314</v>
      </c>
    </row>
    <row r="2" spans="1:14" ht="14.15" customHeight="1" x14ac:dyDescent="0.35">
      <c r="A2" s="203"/>
      <c r="B2" s="204"/>
      <c r="C2" s="205"/>
      <c r="D2" s="205"/>
      <c r="E2" s="206"/>
      <c r="F2" s="204"/>
      <c r="G2" s="204"/>
      <c r="H2" s="204"/>
      <c r="I2" s="204"/>
      <c r="J2" s="206"/>
      <c r="K2" s="207">
        <f>SUM(K7:K288)</f>
        <v>104</v>
      </c>
      <c r="L2" s="207">
        <f>SUM(L7:L288)</f>
        <v>104</v>
      </c>
      <c r="M2" s="207">
        <f>SUM(M7:M288)</f>
        <v>58.5</v>
      </c>
    </row>
    <row r="3" spans="1:14" ht="13.9" customHeight="1" x14ac:dyDescent="0.35">
      <c r="A3" s="208">
        <v>1</v>
      </c>
      <c r="B3" s="209">
        <v>45558</v>
      </c>
      <c r="C3" s="210"/>
      <c r="D3" s="210"/>
      <c r="E3" s="211"/>
      <c r="F3" s="212"/>
      <c r="G3" s="212"/>
      <c r="H3" s="211"/>
      <c r="I3" s="211"/>
      <c r="J3" s="211"/>
      <c r="K3" s="211"/>
      <c r="L3" s="213"/>
      <c r="M3" s="211"/>
    </row>
    <row r="4" spans="1:14" ht="13.9" customHeight="1" x14ac:dyDescent="0.35">
      <c r="A4" s="214">
        <v>2</v>
      </c>
      <c r="B4" s="215">
        <v>45559</v>
      </c>
      <c r="C4" s="216"/>
      <c r="D4" s="216"/>
      <c r="E4" s="217"/>
      <c r="F4" s="218"/>
      <c r="G4" s="218"/>
      <c r="H4" s="217"/>
      <c r="I4" s="217"/>
      <c r="J4" s="217"/>
      <c r="K4" s="217"/>
      <c r="L4" s="219"/>
      <c r="M4" s="217"/>
      <c r="N4" t="s">
        <v>155</v>
      </c>
    </row>
    <row r="5" spans="1:14" ht="13.9" customHeight="1" x14ac:dyDescent="0.35">
      <c r="A5" s="220">
        <v>3</v>
      </c>
      <c r="B5" s="221">
        <v>45560</v>
      </c>
      <c r="C5" s="222"/>
      <c r="D5" s="222"/>
      <c r="E5" s="223"/>
      <c r="F5" s="224"/>
      <c r="G5" s="224"/>
      <c r="H5" s="223"/>
      <c r="I5" s="223"/>
      <c r="J5" s="223"/>
      <c r="K5" s="223"/>
      <c r="L5" s="225"/>
      <c r="M5" s="225"/>
    </row>
    <row r="6" spans="1:14" ht="13.9" customHeight="1" x14ac:dyDescent="0.35">
      <c r="A6" s="220">
        <v>4</v>
      </c>
      <c r="B6" s="221">
        <v>45561</v>
      </c>
      <c r="C6" s="222"/>
      <c r="D6" s="222"/>
      <c r="E6" s="223"/>
      <c r="F6" s="224"/>
      <c r="G6" s="224"/>
      <c r="H6" s="223"/>
      <c r="I6" s="223"/>
      <c r="J6" s="223"/>
      <c r="K6" s="223"/>
      <c r="L6" s="225"/>
      <c r="M6" s="223"/>
    </row>
    <row r="7" spans="1:14" ht="13.9" customHeight="1" x14ac:dyDescent="0.35">
      <c r="A7" s="220">
        <v>5</v>
      </c>
      <c r="B7" s="221">
        <v>45562</v>
      </c>
      <c r="C7" s="226">
        <v>0.66666666666666663</v>
      </c>
      <c r="D7" s="226">
        <v>0.79166666666666663</v>
      </c>
      <c r="E7" s="226">
        <v>0.125</v>
      </c>
      <c r="F7" s="224" t="s">
        <v>132</v>
      </c>
      <c r="G7" s="227" t="s">
        <v>315</v>
      </c>
      <c r="H7" s="228" t="s">
        <v>129</v>
      </c>
      <c r="I7" s="211" t="s">
        <v>316</v>
      </c>
      <c r="J7" s="223"/>
      <c r="K7" s="223">
        <v>1</v>
      </c>
      <c r="L7" s="225"/>
      <c r="M7" s="223">
        <v>1.5</v>
      </c>
    </row>
    <row r="8" spans="1:14" ht="13.9" customHeight="1" x14ac:dyDescent="0.35">
      <c r="A8" s="220">
        <v>6</v>
      </c>
      <c r="B8" s="221">
        <v>45563</v>
      </c>
      <c r="C8" s="222"/>
      <c r="D8" s="222"/>
      <c r="E8" s="229"/>
      <c r="F8" s="224"/>
      <c r="G8" s="227"/>
      <c r="H8" s="223"/>
      <c r="I8" s="223"/>
      <c r="J8" s="223"/>
      <c r="K8" s="223"/>
      <c r="L8" s="225"/>
      <c r="M8" s="223"/>
    </row>
    <row r="9" spans="1:14" ht="13.9" customHeight="1" x14ac:dyDescent="0.35">
      <c r="A9" s="230">
        <v>7</v>
      </c>
      <c r="B9" s="231">
        <v>45564</v>
      </c>
      <c r="C9" s="232"/>
      <c r="D9" s="232"/>
      <c r="E9" s="233"/>
      <c r="F9" s="234"/>
      <c r="G9" s="235"/>
      <c r="H9" s="236"/>
      <c r="I9" s="236"/>
      <c r="J9" s="236"/>
      <c r="K9" s="236"/>
      <c r="L9" s="237"/>
      <c r="M9" s="236"/>
    </row>
    <row r="10" spans="1:14" s="245" customFormat="1" x14ac:dyDescent="0.35">
      <c r="A10" s="238">
        <v>1</v>
      </c>
      <c r="B10" s="239">
        <v>45565</v>
      </c>
      <c r="C10" s="240"/>
      <c r="D10" s="240"/>
      <c r="E10" s="240"/>
      <c r="F10" s="241"/>
      <c r="G10" s="242"/>
      <c r="H10" s="243"/>
      <c r="I10" s="211"/>
      <c r="J10" s="244"/>
      <c r="K10" s="211"/>
      <c r="L10" s="213"/>
      <c r="M10" s="211"/>
    </row>
    <row r="11" spans="1:14" s="245" customFormat="1" x14ac:dyDescent="0.35">
      <c r="A11" s="238">
        <v>2</v>
      </c>
      <c r="B11" s="246">
        <v>45566</v>
      </c>
      <c r="C11" s="240">
        <v>0.75</v>
      </c>
      <c r="D11" s="240">
        <v>0.875</v>
      </c>
      <c r="E11" s="240">
        <v>0.125</v>
      </c>
      <c r="F11" s="247" t="s">
        <v>132</v>
      </c>
      <c r="G11" s="247" t="s">
        <v>135</v>
      </c>
      <c r="H11" s="228" t="s">
        <v>129</v>
      </c>
      <c r="I11" s="211" t="s">
        <v>316</v>
      </c>
      <c r="J11" s="244"/>
      <c r="K11" s="211">
        <v>1</v>
      </c>
      <c r="L11" s="213"/>
      <c r="M11" s="223">
        <v>1.5</v>
      </c>
    </row>
    <row r="12" spans="1:14" s="250" customFormat="1" x14ac:dyDescent="0.35">
      <c r="A12" s="248">
        <v>3</v>
      </c>
      <c r="B12" s="239">
        <v>45567</v>
      </c>
      <c r="C12" s="240"/>
      <c r="D12" s="240"/>
      <c r="E12" s="240"/>
      <c r="F12" s="249"/>
      <c r="G12" s="249"/>
      <c r="H12" s="228"/>
      <c r="I12" s="211"/>
      <c r="J12" s="244"/>
      <c r="K12" s="211"/>
      <c r="L12" s="213"/>
      <c r="M12" s="211"/>
    </row>
    <row r="13" spans="1:14" x14ac:dyDescent="0.35">
      <c r="A13" s="251">
        <v>4</v>
      </c>
      <c r="B13" s="239">
        <v>45568</v>
      </c>
      <c r="C13" s="252"/>
      <c r="D13" s="252"/>
      <c r="E13" s="252"/>
      <c r="F13" s="253" t="s">
        <v>317</v>
      </c>
      <c r="G13" s="253" t="s">
        <v>318</v>
      </c>
      <c r="H13" s="254"/>
      <c r="I13" s="255"/>
      <c r="J13" s="256"/>
      <c r="K13" s="223"/>
      <c r="L13" s="225"/>
      <c r="M13" s="223"/>
      <c r="N13" t="s">
        <v>319</v>
      </c>
    </row>
    <row r="14" spans="1:14" x14ac:dyDescent="0.35">
      <c r="A14" s="251">
        <v>5</v>
      </c>
      <c r="B14" s="239">
        <v>45569</v>
      </c>
      <c r="C14" s="226">
        <v>0.66666666666666663</v>
      </c>
      <c r="D14" s="226">
        <v>0.79166666666666663</v>
      </c>
      <c r="E14" s="226">
        <v>0.125</v>
      </c>
      <c r="F14" s="247" t="s">
        <v>132</v>
      </c>
      <c r="G14" s="247" t="s">
        <v>244</v>
      </c>
      <c r="H14" s="257" t="s">
        <v>101</v>
      </c>
      <c r="I14" s="223"/>
      <c r="J14" s="256"/>
      <c r="K14" s="223">
        <v>1</v>
      </c>
      <c r="L14" s="225"/>
      <c r="M14" s="223"/>
    </row>
    <row r="15" spans="1:14" x14ac:dyDescent="0.35">
      <c r="A15" s="251">
        <v>6</v>
      </c>
      <c r="B15" s="239">
        <v>45570</v>
      </c>
      <c r="C15" s="226"/>
      <c r="D15" s="226"/>
      <c r="E15" s="258"/>
      <c r="F15" s="259"/>
      <c r="G15" s="260"/>
      <c r="H15" s="257"/>
      <c r="I15" s="223"/>
      <c r="J15" s="256"/>
      <c r="K15" s="223"/>
      <c r="L15" s="225"/>
      <c r="M15" s="223"/>
    </row>
    <row r="16" spans="1:14" x14ac:dyDescent="0.35">
      <c r="A16" s="261">
        <v>7</v>
      </c>
      <c r="B16" s="262">
        <v>45571</v>
      </c>
      <c r="C16" s="263"/>
      <c r="D16" s="263"/>
      <c r="E16" s="264"/>
      <c r="F16" s="265"/>
      <c r="G16" s="266"/>
      <c r="H16" s="267"/>
      <c r="I16" s="236"/>
      <c r="J16" s="268"/>
      <c r="K16" s="236"/>
      <c r="L16" s="237"/>
      <c r="M16" s="236"/>
    </row>
    <row r="17" spans="1:14" x14ac:dyDescent="0.35">
      <c r="A17" s="251">
        <v>1</v>
      </c>
      <c r="B17" s="269">
        <v>45572</v>
      </c>
      <c r="C17" s="226"/>
      <c r="D17" s="226"/>
      <c r="E17" s="226"/>
      <c r="F17" s="227"/>
      <c r="G17" s="260"/>
      <c r="H17" s="257"/>
      <c r="I17" s="223"/>
      <c r="J17" s="256"/>
      <c r="K17" s="223"/>
      <c r="L17" s="225"/>
      <c r="M17" s="223"/>
    </row>
    <row r="18" spans="1:14" x14ac:dyDescent="0.35">
      <c r="A18" s="251">
        <v>2</v>
      </c>
      <c r="B18" s="269">
        <v>45573</v>
      </c>
      <c r="C18" s="240">
        <v>0.75</v>
      </c>
      <c r="D18" s="240">
        <v>0.875</v>
      </c>
      <c r="E18" s="240">
        <v>0.125</v>
      </c>
      <c r="F18" s="247" t="s">
        <v>132</v>
      </c>
      <c r="G18" s="260" t="s">
        <v>137</v>
      </c>
      <c r="H18" s="270" t="s">
        <v>320</v>
      </c>
      <c r="I18" s="223"/>
      <c r="J18" s="256" t="s">
        <v>157</v>
      </c>
      <c r="K18" s="223">
        <v>1</v>
      </c>
      <c r="L18" s="225"/>
      <c r="M18" s="223"/>
    </row>
    <row r="19" spans="1:14" x14ac:dyDescent="0.35">
      <c r="A19" s="251">
        <v>3</v>
      </c>
      <c r="B19" s="269">
        <v>45574</v>
      </c>
      <c r="C19" s="240"/>
      <c r="D19" s="240"/>
      <c r="E19" s="240"/>
      <c r="F19" s="224"/>
      <c r="G19" s="271"/>
      <c r="H19" s="257"/>
      <c r="I19" s="223"/>
      <c r="J19" s="256"/>
      <c r="K19" s="223"/>
      <c r="L19" s="225"/>
      <c r="M19" s="223"/>
    </row>
    <row r="20" spans="1:14" s="250" customFormat="1" x14ac:dyDescent="0.35">
      <c r="A20" s="248">
        <v>4</v>
      </c>
      <c r="B20" s="272">
        <v>45575</v>
      </c>
      <c r="C20" s="226">
        <v>0.75</v>
      </c>
      <c r="D20" s="226">
        <v>0.875</v>
      </c>
      <c r="E20" s="226">
        <v>0.125</v>
      </c>
      <c r="F20" s="247" t="s">
        <v>132</v>
      </c>
      <c r="G20" s="247" t="s">
        <v>139</v>
      </c>
      <c r="H20" s="257" t="s">
        <v>320</v>
      </c>
      <c r="I20" s="211"/>
      <c r="J20" s="244" t="s">
        <v>157</v>
      </c>
      <c r="K20" s="211">
        <v>1</v>
      </c>
      <c r="L20" s="213"/>
      <c r="M20" s="211"/>
    </row>
    <row r="21" spans="1:14" x14ac:dyDescent="0.35">
      <c r="A21" s="251">
        <v>5</v>
      </c>
      <c r="B21" s="269">
        <v>45576</v>
      </c>
      <c r="C21" s="226">
        <v>0.66666666666666663</v>
      </c>
      <c r="D21" s="226">
        <v>0.79166666666666663</v>
      </c>
      <c r="E21" s="226">
        <v>0.125</v>
      </c>
      <c r="F21" s="247" t="s">
        <v>124</v>
      </c>
      <c r="G21" s="247" t="s">
        <v>245</v>
      </c>
      <c r="H21" s="257" t="s">
        <v>316</v>
      </c>
      <c r="I21" s="223"/>
      <c r="J21" s="256"/>
      <c r="K21" s="223">
        <v>1</v>
      </c>
      <c r="L21" s="225"/>
      <c r="M21" s="223"/>
    </row>
    <row r="22" spans="1:14" x14ac:dyDescent="0.35">
      <c r="A22" s="214">
        <v>6</v>
      </c>
      <c r="B22" s="215">
        <v>45577</v>
      </c>
      <c r="C22" s="216"/>
      <c r="D22" s="216"/>
      <c r="E22" s="217"/>
      <c r="F22" s="218"/>
      <c r="G22" s="218"/>
      <c r="H22" s="217"/>
      <c r="I22" s="217"/>
      <c r="J22" s="217"/>
      <c r="K22" s="217"/>
      <c r="L22" s="219"/>
      <c r="M22" s="217"/>
      <c r="N22" t="s">
        <v>321</v>
      </c>
    </row>
    <row r="23" spans="1:14" x14ac:dyDescent="0.35">
      <c r="A23" s="261">
        <v>7</v>
      </c>
      <c r="B23" s="262">
        <v>45578</v>
      </c>
      <c r="C23" s="263"/>
      <c r="D23" s="263"/>
      <c r="E23" s="268"/>
      <c r="F23" s="273"/>
      <c r="G23" s="266"/>
      <c r="H23" s="267"/>
      <c r="I23" s="236"/>
      <c r="J23" s="268"/>
      <c r="K23" s="236"/>
      <c r="L23" s="237"/>
      <c r="M23" s="236"/>
    </row>
    <row r="24" spans="1:14" x14ac:dyDescent="0.35">
      <c r="A24" s="251">
        <v>1</v>
      </c>
      <c r="B24" s="269">
        <v>45579</v>
      </c>
      <c r="C24" s="226"/>
      <c r="D24" s="226"/>
      <c r="E24" s="226"/>
      <c r="F24" s="274"/>
      <c r="G24" s="275"/>
      <c r="H24" s="257"/>
      <c r="I24" s="223"/>
      <c r="J24" s="256"/>
      <c r="K24" s="223"/>
      <c r="L24" s="225"/>
      <c r="M24" s="223"/>
    </row>
    <row r="25" spans="1:14" x14ac:dyDescent="0.35">
      <c r="A25" s="251">
        <v>2</v>
      </c>
      <c r="B25" s="269">
        <v>45580</v>
      </c>
      <c r="C25" s="240">
        <v>0.75</v>
      </c>
      <c r="D25" s="240">
        <v>0.875</v>
      </c>
      <c r="E25" s="240">
        <v>0.125</v>
      </c>
      <c r="F25" s="247" t="s">
        <v>124</v>
      </c>
      <c r="G25" s="247" t="s">
        <v>127</v>
      </c>
      <c r="H25" s="257" t="s">
        <v>316</v>
      </c>
      <c r="I25" s="223" t="s">
        <v>322</v>
      </c>
      <c r="J25" s="256"/>
      <c r="K25" s="223">
        <v>1</v>
      </c>
      <c r="L25" s="225"/>
      <c r="M25" s="223"/>
    </row>
    <row r="26" spans="1:14" x14ac:dyDescent="0.35">
      <c r="A26" s="251">
        <v>3</v>
      </c>
      <c r="B26" s="269">
        <v>45581</v>
      </c>
      <c r="C26" s="240"/>
      <c r="D26" s="240"/>
      <c r="E26" s="240"/>
      <c r="F26" s="247"/>
      <c r="G26" s="247"/>
      <c r="H26" s="257"/>
      <c r="I26" s="223"/>
      <c r="J26" s="256"/>
      <c r="K26" s="223"/>
      <c r="L26" s="225"/>
      <c r="M26" s="223"/>
    </row>
    <row r="27" spans="1:14" x14ac:dyDescent="0.35">
      <c r="A27" s="251">
        <v>4</v>
      </c>
      <c r="B27" s="276">
        <v>45582</v>
      </c>
      <c r="C27" s="226">
        <v>0.75</v>
      </c>
      <c r="D27" s="226">
        <v>0.875</v>
      </c>
      <c r="E27" s="226">
        <v>0.125</v>
      </c>
      <c r="F27" s="277" t="s">
        <v>132</v>
      </c>
      <c r="G27" s="277" t="s">
        <v>246</v>
      </c>
      <c r="H27" s="278" t="s">
        <v>129</v>
      </c>
      <c r="I27" s="225" t="s">
        <v>316</v>
      </c>
      <c r="J27" s="256"/>
      <c r="K27" s="211">
        <v>1</v>
      </c>
      <c r="L27" s="225"/>
      <c r="M27" s="223">
        <v>1.5</v>
      </c>
    </row>
    <row r="28" spans="1:14" x14ac:dyDescent="0.35">
      <c r="A28" s="251">
        <v>5</v>
      </c>
      <c r="B28" s="269">
        <v>45583</v>
      </c>
      <c r="C28" s="226">
        <v>0.66666666666666663</v>
      </c>
      <c r="D28" s="226">
        <v>0.79166666666666663</v>
      </c>
      <c r="E28" s="226">
        <v>0.125</v>
      </c>
      <c r="F28" s="277" t="s">
        <v>132</v>
      </c>
      <c r="G28" s="277" t="s">
        <v>247</v>
      </c>
      <c r="H28" s="278" t="s">
        <v>129</v>
      </c>
      <c r="I28" s="225" t="s">
        <v>316</v>
      </c>
      <c r="J28" s="256"/>
      <c r="K28" s="223">
        <v>1</v>
      </c>
      <c r="L28" s="225"/>
      <c r="M28" s="223">
        <v>1.5</v>
      </c>
    </row>
    <row r="29" spans="1:14" x14ac:dyDescent="0.35">
      <c r="A29" s="251">
        <v>6</v>
      </c>
      <c r="B29" s="269">
        <v>45584</v>
      </c>
      <c r="C29" s="226"/>
      <c r="D29" s="226"/>
      <c r="E29" s="226"/>
      <c r="F29" s="259"/>
      <c r="G29" s="271"/>
      <c r="H29" s="257"/>
      <c r="I29" s="223"/>
      <c r="J29" s="256"/>
      <c r="K29" s="223"/>
      <c r="L29" s="225"/>
      <c r="M29" s="223"/>
    </row>
    <row r="30" spans="1:14" x14ac:dyDescent="0.35">
      <c r="A30" s="261">
        <v>7</v>
      </c>
      <c r="B30" s="262">
        <v>45585</v>
      </c>
      <c r="C30" s="263"/>
      <c r="D30" s="263"/>
      <c r="E30" s="268"/>
      <c r="F30" s="273"/>
      <c r="G30" s="266"/>
      <c r="H30" s="267"/>
      <c r="I30" s="236"/>
      <c r="J30" s="268"/>
      <c r="K30" s="236"/>
      <c r="L30" s="237"/>
      <c r="M30" s="236"/>
    </row>
    <row r="31" spans="1:14" s="250" customFormat="1" x14ac:dyDescent="0.35">
      <c r="A31" s="238">
        <v>1</v>
      </c>
      <c r="B31" s="239">
        <v>45586</v>
      </c>
      <c r="C31" s="240"/>
      <c r="D31" s="240"/>
      <c r="E31" s="240"/>
      <c r="F31" s="279"/>
      <c r="G31" s="242"/>
      <c r="H31" s="243"/>
      <c r="I31" s="211"/>
      <c r="J31" s="244"/>
      <c r="K31" s="211"/>
      <c r="L31" s="213"/>
      <c r="M31" s="211"/>
    </row>
    <row r="32" spans="1:14" s="250" customFormat="1" x14ac:dyDescent="0.35">
      <c r="A32" s="248">
        <v>2</v>
      </c>
      <c r="B32" s="239">
        <v>45587</v>
      </c>
      <c r="C32" s="240">
        <v>0.75</v>
      </c>
      <c r="D32" s="240">
        <v>0.875</v>
      </c>
      <c r="E32" s="240">
        <v>0.125</v>
      </c>
      <c r="F32" s="247" t="s">
        <v>132</v>
      </c>
      <c r="G32" s="247" t="s">
        <v>248</v>
      </c>
      <c r="H32" s="228" t="s">
        <v>129</v>
      </c>
      <c r="I32" s="223" t="s">
        <v>316</v>
      </c>
      <c r="J32" s="244"/>
      <c r="K32" s="223">
        <v>1</v>
      </c>
      <c r="L32" s="213"/>
      <c r="M32" s="223">
        <v>1.5</v>
      </c>
    </row>
    <row r="33" spans="1:14" x14ac:dyDescent="0.35">
      <c r="A33" s="251">
        <v>3</v>
      </c>
      <c r="B33" s="239">
        <v>45588</v>
      </c>
      <c r="C33" s="240"/>
      <c r="D33" s="240"/>
      <c r="E33" s="240"/>
      <c r="F33" s="247"/>
      <c r="G33" s="247"/>
      <c r="H33" s="257"/>
      <c r="I33" s="223"/>
      <c r="J33" s="256"/>
      <c r="K33" s="223"/>
      <c r="L33" s="225"/>
      <c r="M33" s="223"/>
    </row>
    <row r="34" spans="1:14" x14ac:dyDescent="0.35">
      <c r="A34" s="251">
        <v>4</v>
      </c>
      <c r="B34" s="246">
        <v>45589</v>
      </c>
      <c r="C34" s="226">
        <v>0.75</v>
      </c>
      <c r="D34" s="226">
        <v>0.875</v>
      </c>
      <c r="E34" s="226">
        <v>0.125</v>
      </c>
      <c r="F34" s="247" t="s">
        <v>22</v>
      </c>
      <c r="G34" s="247" t="s">
        <v>24</v>
      </c>
      <c r="H34" s="257" t="s">
        <v>25</v>
      </c>
      <c r="I34" s="223" t="s">
        <v>26</v>
      </c>
      <c r="J34" s="256" t="s">
        <v>157</v>
      </c>
      <c r="K34" s="211">
        <v>1</v>
      </c>
      <c r="L34" s="225"/>
      <c r="M34" s="223"/>
    </row>
    <row r="35" spans="1:14" x14ac:dyDescent="0.35">
      <c r="A35" s="251">
        <v>5</v>
      </c>
      <c r="B35" s="239">
        <v>45590</v>
      </c>
      <c r="C35" s="226">
        <v>0.66666666666666663</v>
      </c>
      <c r="D35" s="226">
        <v>0.79166666666666663</v>
      </c>
      <c r="E35" s="226">
        <v>0.125</v>
      </c>
      <c r="F35" s="247" t="s">
        <v>22</v>
      </c>
      <c r="G35" s="247" t="s">
        <v>28</v>
      </c>
      <c r="H35" s="223" t="s">
        <v>29</v>
      </c>
      <c r="I35" s="223"/>
      <c r="J35" s="244" t="s">
        <v>157</v>
      </c>
      <c r="K35" s="223">
        <v>1</v>
      </c>
      <c r="L35" s="225"/>
      <c r="M35" s="223"/>
    </row>
    <row r="36" spans="1:14" x14ac:dyDescent="0.35">
      <c r="A36" s="251">
        <v>6</v>
      </c>
      <c r="B36" s="239">
        <v>45591</v>
      </c>
      <c r="C36" s="226"/>
      <c r="D36" s="226"/>
      <c r="E36" s="226"/>
      <c r="F36" s="280"/>
      <c r="G36" s="281"/>
      <c r="H36" s="257"/>
      <c r="I36" s="223"/>
      <c r="J36" s="256"/>
      <c r="K36" s="223"/>
      <c r="L36" s="225"/>
      <c r="M36" s="223"/>
    </row>
    <row r="37" spans="1:14" x14ac:dyDescent="0.35">
      <c r="A37" s="261">
        <v>7</v>
      </c>
      <c r="B37" s="262">
        <v>45592</v>
      </c>
      <c r="C37" s="263"/>
      <c r="D37" s="263"/>
      <c r="E37" s="268"/>
      <c r="F37" s="273"/>
      <c r="G37" s="266"/>
      <c r="H37" s="267"/>
      <c r="I37" s="236"/>
      <c r="J37" s="268"/>
      <c r="K37" s="236"/>
      <c r="L37" s="237"/>
      <c r="M37" s="236"/>
    </row>
    <row r="38" spans="1:14" x14ac:dyDescent="0.35">
      <c r="A38" s="251">
        <v>1</v>
      </c>
      <c r="B38" s="269">
        <v>45593</v>
      </c>
      <c r="C38" s="226"/>
      <c r="D38" s="226"/>
      <c r="E38" s="226"/>
      <c r="F38" s="241"/>
      <c r="G38" s="247"/>
      <c r="H38" s="257"/>
      <c r="I38" s="223"/>
      <c r="J38" s="256"/>
      <c r="K38" s="223"/>
      <c r="L38" s="225"/>
      <c r="M38" s="223"/>
    </row>
    <row r="39" spans="1:14" x14ac:dyDescent="0.35">
      <c r="A39" s="248">
        <v>2</v>
      </c>
      <c r="B39" s="272">
        <v>45594</v>
      </c>
      <c r="C39" s="240">
        <v>0.75</v>
      </c>
      <c r="D39" s="240">
        <v>0.875</v>
      </c>
      <c r="E39" s="240">
        <v>0.125</v>
      </c>
      <c r="F39" s="247" t="s">
        <v>22</v>
      </c>
      <c r="G39" s="247" t="s">
        <v>30</v>
      </c>
      <c r="H39" s="257" t="s">
        <v>26</v>
      </c>
      <c r="I39" s="223" t="s">
        <v>25</v>
      </c>
      <c r="J39" s="256" t="s">
        <v>157</v>
      </c>
      <c r="K39" s="211">
        <v>1</v>
      </c>
      <c r="L39" s="213"/>
      <c r="M39" s="211"/>
    </row>
    <row r="40" spans="1:14" x14ac:dyDescent="0.35">
      <c r="A40" s="248">
        <v>3</v>
      </c>
      <c r="B40" s="272">
        <v>45595</v>
      </c>
      <c r="C40" s="240"/>
      <c r="D40" s="240"/>
      <c r="E40" s="240"/>
      <c r="F40" s="247"/>
      <c r="G40" s="247"/>
      <c r="H40" s="243"/>
      <c r="I40" s="211"/>
      <c r="J40" s="244"/>
      <c r="K40" s="223"/>
      <c r="L40" s="225"/>
      <c r="M40" s="223"/>
    </row>
    <row r="41" spans="1:14" x14ac:dyDescent="0.35">
      <c r="A41" s="251">
        <v>4</v>
      </c>
      <c r="B41" s="269">
        <v>45596</v>
      </c>
      <c r="C41" s="226">
        <v>0.75</v>
      </c>
      <c r="D41" s="226">
        <v>0.875</v>
      </c>
      <c r="E41" s="226">
        <v>0.125</v>
      </c>
      <c r="F41" s="277" t="s">
        <v>124</v>
      </c>
      <c r="G41" s="277" t="s">
        <v>249</v>
      </c>
      <c r="H41" s="278" t="s">
        <v>129</v>
      </c>
      <c r="I41" s="225" t="s">
        <v>316</v>
      </c>
      <c r="J41" s="256"/>
      <c r="K41" s="223">
        <v>1</v>
      </c>
      <c r="L41" s="225"/>
      <c r="M41" s="223">
        <v>3</v>
      </c>
      <c r="N41" s="2"/>
    </row>
    <row r="42" spans="1:14" x14ac:dyDescent="0.35">
      <c r="A42" s="214">
        <v>5</v>
      </c>
      <c r="B42" s="215">
        <v>45597</v>
      </c>
      <c r="C42" s="216"/>
      <c r="D42" s="216"/>
      <c r="E42" s="216"/>
      <c r="F42" s="218"/>
      <c r="G42" s="218"/>
      <c r="H42" s="217"/>
      <c r="I42" s="217"/>
      <c r="J42" s="217"/>
      <c r="K42" s="217"/>
      <c r="L42" s="219"/>
      <c r="M42" s="217"/>
      <c r="N42" t="s">
        <v>155</v>
      </c>
    </row>
    <row r="43" spans="1:14" x14ac:dyDescent="0.35">
      <c r="A43" s="214">
        <v>6</v>
      </c>
      <c r="B43" s="282">
        <v>45598</v>
      </c>
      <c r="C43" s="216"/>
      <c r="D43" s="216"/>
      <c r="E43" s="216"/>
      <c r="F43" s="283"/>
      <c r="G43" s="283"/>
      <c r="H43" s="216"/>
      <c r="I43" s="216"/>
      <c r="J43" s="216"/>
      <c r="K43" s="216"/>
      <c r="L43" s="284"/>
      <c r="M43" s="216"/>
      <c r="N43" t="s">
        <v>158</v>
      </c>
    </row>
    <row r="44" spans="1:14" x14ac:dyDescent="0.35">
      <c r="A44" s="261">
        <v>7</v>
      </c>
      <c r="B44" s="262">
        <v>45599</v>
      </c>
      <c r="C44" s="263"/>
      <c r="D44" s="263"/>
      <c r="E44" s="264"/>
      <c r="F44" s="285"/>
      <c r="G44" s="266"/>
      <c r="H44" s="267"/>
      <c r="I44" s="236"/>
      <c r="J44" s="268"/>
      <c r="K44" s="236"/>
      <c r="L44" s="237"/>
      <c r="M44" s="236"/>
    </row>
    <row r="45" spans="1:14" x14ac:dyDescent="0.35">
      <c r="A45" s="251">
        <v>1</v>
      </c>
      <c r="B45" s="269">
        <v>45600</v>
      </c>
      <c r="C45" s="226"/>
      <c r="D45" s="226"/>
      <c r="E45" s="258"/>
      <c r="F45" s="259"/>
      <c r="G45" s="260"/>
      <c r="H45" s="257"/>
      <c r="I45" s="223"/>
      <c r="J45" s="256"/>
      <c r="K45" s="223"/>
      <c r="L45" s="286"/>
      <c r="M45" s="257"/>
    </row>
    <row r="46" spans="1:14" x14ac:dyDescent="0.35">
      <c r="A46" s="251">
        <v>2</v>
      </c>
      <c r="B46" s="269">
        <v>45601</v>
      </c>
      <c r="C46" s="240">
        <v>0.75</v>
      </c>
      <c r="D46" s="240">
        <v>0.875</v>
      </c>
      <c r="E46" s="240">
        <v>0.125</v>
      </c>
      <c r="F46" s="247" t="s">
        <v>22</v>
      </c>
      <c r="G46" s="247" t="s">
        <v>31</v>
      </c>
      <c r="H46" s="223" t="s">
        <v>25</v>
      </c>
      <c r="I46" s="257" t="s">
        <v>26</v>
      </c>
      <c r="J46" s="256" t="s">
        <v>157</v>
      </c>
      <c r="K46" s="223">
        <v>1</v>
      </c>
      <c r="L46" s="287"/>
      <c r="M46" s="210"/>
    </row>
    <row r="47" spans="1:14" x14ac:dyDescent="0.35">
      <c r="A47" s="251">
        <v>3</v>
      </c>
      <c r="B47" s="269">
        <v>45602</v>
      </c>
      <c r="C47" s="240"/>
      <c r="D47" s="240"/>
      <c r="E47" s="240"/>
      <c r="F47" s="259"/>
      <c r="G47" s="259"/>
      <c r="H47" s="259"/>
      <c r="I47" s="257"/>
      <c r="J47" s="256"/>
      <c r="K47" s="223"/>
      <c r="L47" s="225"/>
      <c r="M47" s="223"/>
    </row>
    <row r="48" spans="1:14" x14ac:dyDescent="0.35">
      <c r="A48" s="251">
        <v>4</v>
      </c>
      <c r="B48" s="269">
        <v>45603</v>
      </c>
      <c r="C48" s="226">
        <v>0.75</v>
      </c>
      <c r="D48" s="226">
        <v>0.875</v>
      </c>
      <c r="E48" s="226">
        <v>0.125</v>
      </c>
      <c r="F48" s="247" t="s">
        <v>22</v>
      </c>
      <c r="G48" s="247" t="s">
        <v>35</v>
      </c>
      <c r="H48" s="257" t="s">
        <v>34</v>
      </c>
      <c r="I48" s="257"/>
      <c r="J48" s="256" t="s">
        <v>157</v>
      </c>
      <c r="K48" s="211">
        <v>1</v>
      </c>
      <c r="L48" s="225"/>
      <c r="M48" s="223"/>
    </row>
    <row r="49" spans="1:14" x14ac:dyDescent="0.35">
      <c r="A49" s="251">
        <v>5</v>
      </c>
      <c r="B49" s="269">
        <v>45604</v>
      </c>
      <c r="C49" s="226">
        <v>0.66666666666666663</v>
      </c>
      <c r="D49" s="226">
        <v>0.79166666666666663</v>
      </c>
      <c r="E49" s="226">
        <v>0.125</v>
      </c>
      <c r="F49" s="247" t="s">
        <v>22</v>
      </c>
      <c r="G49" s="247" t="s">
        <v>33</v>
      </c>
      <c r="H49" s="257" t="s">
        <v>34</v>
      </c>
      <c r="I49" s="257"/>
      <c r="J49" s="256" t="s">
        <v>157</v>
      </c>
      <c r="K49" s="223">
        <v>1</v>
      </c>
      <c r="L49" s="225"/>
      <c r="M49" s="223"/>
    </row>
    <row r="50" spans="1:14" x14ac:dyDescent="0.35">
      <c r="A50" s="251">
        <v>6</v>
      </c>
      <c r="B50" s="269">
        <v>45605</v>
      </c>
      <c r="C50" s="226"/>
      <c r="D50" s="226"/>
      <c r="E50" s="226"/>
      <c r="F50" s="259"/>
      <c r="H50" s="257"/>
      <c r="I50" s="257"/>
      <c r="J50" s="256"/>
      <c r="K50" s="223"/>
      <c r="L50" s="225"/>
      <c r="M50" s="223"/>
    </row>
    <row r="51" spans="1:14" x14ac:dyDescent="0.35">
      <c r="A51" s="261">
        <v>7</v>
      </c>
      <c r="B51" s="262">
        <v>45606</v>
      </c>
      <c r="C51" s="263"/>
      <c r="D51" s="263"/>
      <c r="E51" s="268"/>
      <c r="F51" s="285"/>
      <c r="G51" s="285"/>
      <c r="H51" s="267"/>
      <c r="I51" s="236"/>
      <c r="J51" s="268"/>
      <c r="K51" s="236"/>
      <c r="L51" s="237"/>
      <c r="M51" s="236"/>
    </row>
    <row r="52" spans="1:14" x14ac:dyDescent="0.35">
      <c r="A52" s="251">
        <v>1</v>
      </c>
      <c r="B52" s="269">
        <v>45607</v>
      </c>
      <c r="C52" s="226"/>
      <c r="D52" s="226"/>
      <c r="E52" s="226"/>
      <c r="F52" s="259"/>
      <c r="G52" s="271"/>
      <c r="H52" s="257"/>
      <c r="I52" s="223"/>
      <c r="J52" s="256"/>
      <c r="K52" s="223"/>
      <c r="L52" s="225"/>
      <c r="M52" s="223"/>
    </row>
    <row r="53" spans="1:14" x14ac:dyDescent="0.35">
      <c r="A53" s="288">
        <v>2</v>
      </c>
      <c r="B53" s="269">
        <v>45608</v>
      </c>
      <c r="C53" s="240">
        <v>0.75</v>
      </c>
      <c r="D53" s="240">
        <v>0.875</v>
      </c>
      <c r="E53" s="240">
        <v>0.125</v>
      </c>
      <c r="F53" s="247" t="s">
        <v>22</v>
      </c>
      <c r="G53" s="247" t="s">
        <v>32</v>
      </c>
      <c r="H53" s="223" t="s">
        <v>25</v>
      </c>
      <c r="I53" s="257" t="s">
        <v>26</v>
      </c>
      <c r="J53" s="256" t="s">
        <v>157</v>
      </c>
      <c r="K53" s="223">
        <v>1</v>
      </c>
      <c r="L53" s="225"/>
      <c r="M53" s="223"/>
    </row>
    <row r="54" spans="1:14" x14ac:dyDescent="0.35">
      <c r="A54" s="288">
        <v>3</v>
      </c>
      <c r="B54" s="269">
        <v>45609</v>
      </c>
      <c r="C54" s="240"/>
      <c r="D54" s="240"/>
      <c r="E54" s="240"/>
      <c r="F54" s="247"/>
      <c r="G54" s="247"/>
      <c r="H54" s="257"/>
      <c r="I54" s="223"/>
      <c r="J54" s="256"/>
      <c r="K54" s="223"/>
      <c r="L54" s="225"/>
      <c r="M54" s="223"/>
    </row>
    <row r="55" spans="1:14" x14ac:dyDescent="0.35">
      <c r="A55" s="288">
        <v>4</v>
      </c>
      <c r="B55" s="269">
        <v>45610</v>
      </c>
      <c r="C55" s="226">
        <v>0.75</v>
      </c>
      <c r="D55" s="226">
        <v>0.875</v>
      </c>
      <c r="E55" s="226">
        <v>0.125</v>
      </c>
      <c r="F55" s="247" t="s">
        <v>132</v>
      </c>
      <c r="G55" s="247" t="s">
        <v>142</v>
      </c>
      <c r="H55" s="257" t="s">
        <v>316</v>
      </c>
      <c r="I55" s="223"/>
      <c r="J55" s="256"/>
      <c r="K55" s="223">
        <v>1</v>
      </c>
      <c r="L55" s="225"/>
      <c r="M55" s="223"/>
    </row>
    <row r="56" spans="1:14" x14ac:dyDescent="0.35">
      <c r="A56" s="288">
        <v>5</v>
      </c>
      <c r="B56" s="269">
        <v>45611</v>
      </c>
      <c r="C56" s="226">
        <v>0.66666666666666663</v>
      </c>
      <c r="D56" s="226">
        <v>0.79166666666666663</v>
      </c>
      <c r="E56" s="226">
        <v>0.125</v>
      </c>
      <c r="F56" s="247" t="s">
        <v>132</v>
      </c>
      <c r="G56" s="247" t="s">
        <v>143</v>
      </c>
      <c r="H56" s="257" t="s">
        <v>316</v>
      </c>
      <c r="I56" s="223"/>
      <c r="J56" s="256"/>
      <c r="K56" s="223">
        <v>1</v>
      </c>
      <c r="L56" s="225"/>
      <c r="M56" s="223"/>
    </row>
    <row r="57" spans="1:14" x14ac:dyDescent="0.35">
      <c r="A57" s="288">
        <v>6</v>
      </c>
      <c r="B57" s="269">
        <v>45612</v>
      </c>
      <c r="C57" s="226"/>
      <c r="D57" s="226"/>
      <c r="E57" s="226"/>
      <c r="F57" s="259"/>
      <c r="G57" s="271"/>
      <c r="H57" s="257"/>
      <c r="I57" s="223"/>
      <c r="J57" s="256"/>
      <c r="K57" s="223"/>
      <c r="L57" s="225"/>
      <c r="M57" s="223"/>
    </row>
    <row r="58" spans="1:14" x14ac:dyDescent="0.35">
      <c r="A58" s="261">
        <v>7</v>
      </c>
      <c r="B58" s="262">
        <v>45613</v>
      </c>
      <c r="C58" s="263"/>
      <c r="D58" s="263"/>
      <c r="E58" s="268"/>
      <c r="F58" s="285"/>
      <c r="G58" s="289"/>
      <c r="H58" s="267"/>
      <c r="I58" s="236"/>
      <c r="J58" s="268"/>
      <c r="K58" s="236"/>
      <c r="L58" s="237"/>
      <c r="M58" s="236"/>
    </row>
    <row r="59" spans="1:14" x14ac:dyDescent="0.35">
      <c r="A59" s="251">
        <v>1</v>
      </c>
      <c r="B59" s="269">
        <v>45614</v>
      </c>
      <c r="C59" s="226"/>
      <c r="D59" s="226"/>
      <c r="E59" s="226"/>
      <c r="F59" s="259"/>
      <c r="G59" s="271"/>
      <c r="H59" s="257"/>
      <c r="I59" s="290"/>
      <c r="J59" s="290"/>
      <c r="K59" s="223"/>
      <c r="L59" s="291"/>
      <c r="M59" s="290"/>
    </row>
    <row r="60" spans="1:14" x14ac:dyDescent="0.35">
      <c r="A60" s="251">
        <v>2</v>
      </c>
      <c r="B60" s="276">
        <v>45615</v>
      </c>
      <c r="C60" s="240">
        <v>0.75</v>
      </c>
      <c r="D60" s="240">
        <v>0.875</v>
      </c>
      <c r="E60" s="240">
        <v>0.125</v>
      </c>
      <c r="F60" s="247" t="s">
        <v>159</v>
      </c>
      <c r="G60" s="247" t="s">
        <v>68</v>
      </c>
      <c r="H60" s="257" t="s">
        <v>38</v>
      </c>
      <c r="I60" s="290"/>
      <c r="J60" s="290" t="s">
        <v>157</v>
      </c>
      <c r="K60" s="223">
        <v>1</v>
      </c>
      <c r="L60" s="291"/>
      <c r="M60" s="290"/>
    </row>
    <row r="61" spans="1:14" x14ac:dyDescent="0.35">
      <c r="A61" s="251">
        <v>3</v>
      </c>
      <c r="B61" s="269">
        <v>45616</v>
      </c>
      <c r="C61" s="226"/>
      <c r="D61" s="226"/>
      <c r="E61" s="226"/>
      <c r="F61" s="259"/>
      <c r="G61" s="271"/>
      <c r="H61" s="257"/>
      <c r="I61" s="290"/>
      <c r="J61" s="290"/>
      <c r="K61" s="223"/>
      <c r="L61" s="291"/>
      <c r="M61" s="290"/>
    </row>
    <row r="62" spans="1:14" x14ac:dyDescent="0.35">
      <c r="A62" s="251">
        <v>4</v>
      </c>
      <c r="B62" s="292">
        <v>45617</v>
      </c>
      <c r="C62" s="252"/>
      <c r="D62" s="252"/>
      <c r="E62" s="252"/>
      <c r="F62" s="253" t="s">
        <v>317</v>
      </c>
      <c r="G62" s="293" t="s">
        <v>323</v>
      </c>
      <c r="H62" s="294"/>
      <c r="I62" s="295"/>
      <c r="J62" s="295"/>
      <c r="K62" s="223"/>
      <c r="L62" s="291"/>
      <c r="M62" s="290"/>
      <c r="N62" t="s">
        <v>323</v>
      </c>
    </row>
    <row r="63" spans="1:14" x14ac:dyDescent="0.35">
      <c r="A63" s="251">
        <v>5</v>
      </c>
      <c r="B63" s="269">
        <v>45618</v>
      </c>
      <c r="C63" s="226">
        <v>0.66666666666666663</v>
      </c>
      <c r="D63" s="226">
        <v>0.79166666666666663</v>
      </c>
      <c r="E63" s="226">
        <v>0.125</v>
      </c>
      <c r="F63" s="247" t="s">
        <v>159</v>
      </c>
      <c r="G63" s="247" t="s">
        <v>72</v>
      </c>
      <c r="H63" s="257" t="s">
        <v>73</v>
      </c>
      <c r="J63" s="290" t="s">
        <v>157</v>
      </c>
      <c r="K63" s="223">
        <v>1</v>
      </c>
      <c r="L63" s="291"/>
      <c r="M63" s="290"/>
    </row>
    <row r="64" spans="1:14" x14ac:dyDescent="0.35">
      <c r="A64" s="251">
        <v>6</v>
      </c>
      <c r="B64" s="269">
        <v>45619</v>
      </c>
      <c r="C64" s="226"/>
      <c r="D64" s="226"/>
      <c r="E64" s="226"/>
      <c r="F64" s="259"/>
      <c r="G64" s="259"/>
      <c r="H64" s="259"/>
      <c r="I64" s="259"/>
      <c r="J64" s="259"/>
      <c r="K64" s="223"/>
      <c r="L64" s="225"/>
      <c r="M64" s="223"/>
    </row>
    <row r="65" spans="1:14" x14ac:dyDescent="0.35">
      <c r="A65" s="261">
        <v>7</v>
      </c>
      <c r="B65" s="262">
        <v>45620</v>
      </c>
      <c r="C65" s="263"/>
      <c r="D65" s="263"/>
      <c r="E65" s="268"/>
      <c r="F65" s="285"/>
      <c r="G65" s="289"/>
      <c r="H65" s="267"/>
      <c r="I65" s="236"/>
      <c r="J65" s="268"/>
      <c r="K65" s="236"/>
      <c r="L65" s="237"/>
      <c r="M65" s="236"/>
    </row>
    <row r="66" spans="1:14" x14ac:dyDescent="0.35">
      <c r="A66" s="251">
        <v>1</v>
      </c>
      <c r="B66" s="269">
        <v>45621</v>
      </c>
      <c r="C66" s="226"/>
      <c r="D66" s="226"/>
      <c r="E66" s="226"/>
      <c r="F66" s="259"/>
      <c r="G66" s="259"/>
      <c r="I66" s="290"/>
      <c r="J66" s="290"/>
      <c r="K66" s="223"/>
      <c r="L66" s="291"/>
      <c r="M66" s="290"/>
    </row>
    <row r="67" spans="1:14" x14ac:dyDescent="0.35">
      <c r="A67" s="251">
        <v>2</v>
      </c>
      <c r="B67" s="269">
        <v>45622</v>
      </c>
      <c r="C67" s="240">
        <v>0.75</v>
      </c>
      <c r="D67" s="240">
        <v>0.875</v>
      </c>
      <c r="E67" s="240">
        <v>0.125</v>
      </c>
      <c r="F67" s="247" t="s">
        <v>159</v>
      </c>
      <c r="G67" s="247" t="s">
        <v>251</v>
      </c>
      <c r="H67" s="257" t="s">
        <v>73</v>
      </c>
      <c r="J67" s="244" t="s">
        <v>157</v>
      </c>
      <c r="K67" s="223">
        <v>1</v>
      </c>
      <c r="L67" s="291"/>
      <c r="M67" s="290"/>
    </row>
    <row r="68" spans="1:14" x14ac:dyDescent="0.35">
      <c r="A68" s="251">
        <v>3</v>
      </c>
      <c r="B68" s="269">
        <v>45623</v>
      </c>
      <c r="C68" s="240"/>
      <c r="D68" s="240"/>
      <c r="E68" s="240"/>
      <c r="F68" s="247"/>
      <c r="G68" s="247"/>
      <c r="H68" s="247"/>
      <c r="I68" s="211"/>
      <c r="J68" s="244"/>
      <c r="K68" s="223"/>
      <c r="L68" s="291"/>
      <c r="M68" s="290"/>
    </row>
    <row r="69" spans="1:14" x14ac:dyDescent="0.35">
      <c r="A69" s="251">
        <v>4</v>
      </c>
      <c r="B69" s="269">
        <v>45624</v>
      </c>
      <c r="C69" s="226">
        <v>0.75</v>
      </c>
      <c r="D69" s="226">
        <v>0.875</v>
      </c>
      <c r="E69" s="226">
        <v>0.125</v>
      </c>
      <c r="F69" s="247" t="s">
        <v>159</v>
      </c>
      <c r="G69" s="247" t="s">
        <v>252</v>
      </c>
      <c r="H69" s="257" t="s">
        <v>73</v>
      </c>
      <c r="J69" s="244" t="s">
        <v>157</v>
      </c>
      <c r="K69" s="211">
        <v>1</v>
      </c>
      <c r="L69" s="291"/>
      <c r="M69" s="290"/>
    </row>
    <row r="70" spans="1:14" x14ac:dyDescent="0.35">
      <c r="A70" s="251">
        <v>5</v>
      </c>
      <c r="B70" s="269">
        <v>45625</v>
      </c>
      <c r="C70" s="226">
        <v>0.66666666666666663</v>
      </c>
      <c r="D70" s="226">
        <v>0.79166666666666663</v>
      </c>
      <c r="E70" s="226">
        <v>0.125</v>
      </c>
      <c r="F70" s="277" t="s">
        <v>124</v>
      </c>
      <c r="G70" s="277" t="s">
        <v>253</v>
      </c>
      <c r="H70" s="286" t="s">
        <v>129</v>
      </c>
      <c r="I70" s="291" t="s">
        <v>316</v>
      </c>
      <c r="J70" s="290"/>
      <c r="K70" s="223">
        <v>1</v>
      </c>
      <c r="L70" s="291"/>
      <c r="M70" s="223">
        <v>3</v>
      </c>
    </row>
    <row r="71" spans="1:14" x14ac:dyDescent="0.35">
      <c r="A71" s="251">
        <v>6</v>
      </c>
      <c r="B71" s="269">
        <v>45626</v>
      </c>
      <c r="C71" s="226"/>
      <c r="D71" s="226"/>
      <c r="E71" s="226"/>
      <c r="F71" s="259"/>
      <c r="G71" s="271"/>
      <c r="H71" s="257"/>
      <c r="I71" s="223"/>
      <c r="J71" s="256"/>
      <c r="K71" s="223"/>
      <c r="L71" s="225"/>
      <c r="M71" s="223"/>
    </row>
    <row r="72" spans="1:14" x14ac:dyDescent="0.35">
      <c r="A72" s="261">
        <v>7</v>
      </c>
      <c r="B72" s="262">
        <v>45627</v>
      </c>
      <c r="C72" s="263"/>
      <c r="D72" s="263"/>
      <c r="E72" s="268"/>
      <c r="F72" s="285"/>
      <c r="G72" s="289"/>
      <c r="H72" s="267"/>
      <c r="I72" s="236"/>
      <c r="J72" s="268"/>
      <c r="K72" s="236"/>
      <c r="L72" s="237"/>
      <c r="M72" s="236"/>
    </row>
    <row r="73" spans="1:14" x14ac:dyDescent="0.35">
      <c r="A73" s="248">
        <v>1</v>
      </c>
      <c r="B73" s="239">
        <v>45628</v>
      </c>
      <c r="C73" s="240"/>
      <c r="D73" s="240"/>
      <c r="E73" s="240"/>
      <c r="F73" s="297"/>
      <c r="G73" s="298"/>
      <c r="H73" s="290"/>
      <c r="I73" s="211"/>
      <c r="J73" s="244"/>
      <c r="K73" s="211"/>
      <c r="L73" s="213"/>
      <c r="M73" s="211"/>
    </row>
    <row r="74" spans="1:14" x14ac:dyDescent="0.35">
      <c r="A74" s="248">
        <v>2</v>
      </c>
      <c r="B74" s="239">
        <v>45629</v>
      </c>
      <c r="C74" s="240">
        <v>0.75</v>
      </c>
      <c r="D74" s="240">
        <v>0.875</v>
      </c>
      <c r="E74" s="240">
        <v>0.125</v>
      </c>
      <c r="F74" s="247" t="s">
        <v>159</v>
      </c>
      <c r="G74" s="247" t="s">
        <v>254</v>
      </c>
      <c r="H74" s="290" t="s">
        <v>71</v>
      </c>
      <c r="I74" s="257" t="s">
        <v>316</v>
      </c>
      <c r="J74" s="256" t="s">
        <v>157</v>
      </c>
      <c r="K74" s="211">
        <v>1</v>
      </c>
      <c r="L74" s="213"/>
      <c r="M74" s="211"/>
    </row>
    <row r="75" spans="1:14" x14ac:dyDescent="0.35">
      <c r="A75" s="248">
        <v>3</v>
      </c>
      <c r="B75" s="239">
        <v>45630</v>
      </c>
      <c r="C75" s="240"/>
      <c r="D75" s="240"/>
      <c r="E75" s="240"/>
      <c r="F75" s="297"/>
      <c r="G75" s="247"/>
      <c r="H75" s="290"/>
      <c r="I75" s="257"/>
      <c r="J75" s="244"/>
      <c r="K75" s="211"/>
      <c r="L75" s="213"/>
      <c r="M75" s="211"/>
    </row>
    <row r="76" spans="1:14" x14ac:dyDescent="0.35">
      <c r="A76" s="248">
        <v>4</v>
      </c>
      <c r="B76" s="239">
        <v>45631</v>
      </c>
      <c r="C76" s="226">
        <v>0.75</v>
      </c>
      <c r="D76" s="226">
        <v>0.875</v>
      </c>
      <c r="E76" s="226">
        <v>0.125</v>
      </c>
      <c r="F76" s="247" t="s">
        <v>159</v>
      </c>
      <c r="G76" s="247" t="s">
        <v>255</v>
      </c>
      <c r="H76" s="290" t="s">
        <v>71</v>
      </c>
      <c r="I76" s="257" t="s">
        <v>316</v>
      </c>
      <c r="J76" s="256" t="s">
        <v>157</v>
      </c>
      <c r="K76" s="211">
        <v>1</v>
      </c>
      <c r="L76" s="213"/>
      <c r="M76" s="211"/>
    </row>
    <row r="77" spans="1:14" x14ac:dyDescent="0.35">
      <c r="A77" s="299">
        <v>5</v>
      </c>
      <c r="B77" s="300">
        <v>45632</v>
      </c>
      <c r="C77" s="216"/>
      <c r="D77" s="216"/>
      <c r="E77" s="216"/>
      <c r="F77" s="283"/>
      <c r="G77" s="301"/>
      <c r="H77" s="302"/>
      <c r="I77" s="217"/>
      <c r="J77" s="303"/>
      <c r="K77" s="217"/>
      <c r="L77" s="219"/>
      <c r="M77" s="217"/>
      <c r="N77" t="s">
        <v>155</v>
      </c>
    </row>
    <row r="78" spans="1:14" x14ac:dyDescent="0.35">
      <c r="A78" s="299">
        <v>6</v>
      </c>
      <c r="B78" s="304">
        <v>45633</v>
      </c>
      <c r="C78" s="305"/>
      <c r="D78" s="305"/>
      <c r="E78" s="305"/>
      <c r="F78" s="306"/>
      <c r="G78" s="301"/>
      <c r="H78" s="302"/>
      <c r="I78" s="217"/>
      <c r="J78" s="303"/>
      <c r="K78" s="217"/>
      <c r="L78" s="219"/>
      <c r="M78" s="217"/>
      <c r="N78" t="s">
        <v>158</v>
      </c>
    </row>
    <row r="79" spans="1:14" x14ac:dyDescent="0.35">
      <c r="A79" s="261">
        <v>7</v>
      </c>
      <c r="B79" s="307">
        <v>45634</v>
      </c>
      <c r="C79" s="263"/>
      <c r="D79" s="263"/>
      <c r="E79" s="268"/>
      <c r="F79" s="285"/>
      <c r="G79" s="289"/>
      <c r="H79" s="267"/>
      <c r="I79" s="236"/>
      <c r="J79" s="268"/>
      <c r="K79" s="236"/>
      <c r="L79" s="237"/>
      <c r="M79" s="236"/>
      <c r="N79" t="s">
        <v>155</v>
      </c>
    </row>
    <row r="80" spans="1:14" x14ac:dyDescent="0.35">
      <c r="A80" s="251">
        <v>1</v>
      </c>
      <c r="B80" s="308">
        <v>45635</v>
      </c>
      <c r="C80" s="226"/>
      <c r="D80" s="226"/>
      <c r="E80" s="226"/>
      <c r="F80" s="259"/>
      <c r="G80" s="271"/>
      <c r="H80" s="257"/>
      <c r="I80" s="223"/>
      <c r="J80" s="256"/>
      <c r="K80" s="223"/>
      <c r="L80" s="225"/>
      <c r="M80" s="223"/>
    </row>
    <row r="81" spans="1:14" x14ac:dyDescent="0.35">
      <c r="A81" s="251">
        <v>2</v>
      </c>
      <c r="B81" s="308">
        <v>45636</v>
      </c>
      <c r="C81" s="240">
        <v>0.75</v>
      </c>
      <c r="D81" s="240">
        <v>0.875</v>
      </c>
      <c r="E81" s="240">
        <v>0.125</v>
      </c>
      <c r="F81" s="247" t="s">
        <v>159</v>
      </c>
      <c r="G81" s="247" t="s">
        <v>70</v>
      </c>
      <c r="H81" s="290" t="s">
        <v>71</v>
      </c>
      <c r="I81" s="257" t="s">
        <v>316</v>
      </c>
      <c r="J81" s="256" t="s">
        <v>157</v>
      </c>
      <c r="K81" s="223">
        <v>1</v>
      </c>
      <c r="L81" s="225"/>
      <c r="M81" s="223"/>
    </row>
    <row r="82" spans="1:14" x14ac:dyDescent="0.35">
      <c r="A82" s="251">
        <v>3</v>
      </c>
      <c r="B82" s="308">
        <v>45637</v>
      </c>
      <c r="C82" s="240"/>
      <c r="D82" s="240"/>
      <c r="E82" s="240"/>
      <c r="F82" s="247"/>
      <c r="G82" s="247"/>
      <c r="H82" s="257"/>
      <c r="I82" s="223"/>
      <c r="J82" s="256"/>
      <c r="K82" s="223"/>
      <c r="L82" s="225"/>
      <c r="M82" s="223"/>
    </row>
    <row r="83" spans="1:14" x14ac:dyDescent="0.35">
      <c r="A83" s="251">
        <v>4</v>
      </c>
      <c r="B83" s="308">
        <v>45638</v>
      </c>
      <c r="C83" s="226">
        <v>0.75</v>
      </c>
      <c r="D83" s="226">
        <v>0.875</v>
      </c>
      <c r="E83" s="226">
        <v>0.125</v>
      </c>
      <c r="F83" s="247" t="s">
        <v>159</v>
      </c>
      <c r="G83" s="247" t="s">
        <v>256</v>
      </c>
      <c r="H83" s="223" t="s">
        <v>76</v>
      </c>
      <c r="I83" s="257" t="s">
        <v>316</v>
      </c>
      <c r="J83" s="256" t="s">
        <v>157</v>
      </c>
      <c r="K83" s="211">
        <v>1</v>
      </c>
      <c r="L83" s="225"/>
      <c r="M83" s="223"/>
    </row>
    <row r="84" spans="1:14" x14ac:dyDescent="0.35">
      <c r="A84" s="251">
        <v>5</v>
      </c>
      <c r="B84" s="308">
        <v>45639</v>
      </c>
      <c r="C84" s="226">
        <v>0.66666666666666663</v>
      </c>
      <c r="D84" s="226">
        <v>0.79166666666666663</v>
      </c>
      <c r="E84" s="226">
        <v>0.125</v>
      </c>
      <c r="F84" s="247" t="s">
        <v>159</v>
      </c>
      <c r="G84" s="247" t="s">
        <v>257</v>
      </c>
      <c r="H84" s="223" t="s">
        <v>76</v>
      </c>
      <c r="I84" s="257" t="s">
        <v>316</v>
      </c>
      <c r="J84" s="256" t="s">
        <v>157</v>
      </c>
      <c r="K84" s="223">
        <v>1</v>
      </c>
      <c r="L84" s="225"/>
      <c r="M84" s="223"/>
    </row>
    <row r="85" spans="1:14" x14ac:dyDescent="0.35">
      <c r="A85" s="251">
        <v>6</v>
      </c>
      <c r="B85" s="308">
        <v>45640</v>
      </c>
      <c r="C85" s="226"/>
      <c r="D85" s="226"/>
      <c r="E85" s="226"/>
      <c r="F85" s="259"/>
      <c r="G85" s="271"/>
      <c r="H85" s="257"/>
      <c r="I85" s="223"/>
      <c r="J85" s="256"/>
      <c r="K85" s="223"/>
      <c r="L85" s="225"/>
      <c r="M85" s="223"/>
    </row>
    <row r="86" spans="1:14" x14ac:dyDescent="0.35">
      <c r="A86" s="261">
        <v>7</v>
      </c>
      <c r="B86" s="262">
        <v>45641</v>
      </c>
      <c r="C86" s="263"/>
      <c r="D86" s="263"/>
      <c r="E86" s="268"/>
      <c r="F86" s="285"/>
      <c r="G86" s="289"/>
      <c r="H86" s="267"/>
      <c r="I86" s="236"/>
      <c r="J86" s="268"/>
      <c r="K86" s="236"/>
      <c r="L86" s="237"/>
      <c r="M86" s="236"/>
    </row>
    <row r="87" spans="1:14" x14ac:dyDescent="0.35">
      <c r="A87" s="251">
        <v>1</v>
      </c>
      <c r="B87" s="308">
        <v>45642</v>
      </c>
      <c r="C87" s="226"/>
      <c r="D87" s="226"/>
      <c r="E87" s="226"/>
      <c r="F87" s="259"/>
      <c r="G87" s="271"/>
      <c r="H87" s="257"/>
      <c r="I87" s="223"/>
      <c r="J87" s="256"/>
      <c r="K87" s="223"/>
      <c r="L87" s="225"/>
      <c r="M87" s="223"/>
    </row>
    <row r="88" spans="1:14" x14ac:dyDescent="0.35">
      <c r="A88" s="251">
        <v>2</v>
      </c>
      <c r="B88" s="308">
        <v>45643</v>
      </c>
      <c r="C88" s="240">
        <v>0.75</v>
      </c>
      <c r="D88" s="240">
        <v>0.875</v>
      </c>
      <c r="E88" s="240">
        <v>0.125</v>
      </c>
      <c r="F88" s="247" t="s">
        <v>159</v>
      </c>
      <c r="G88" s="247" t="s">
        <v>78</v>
      </c>
      <c r="H88" s="257" t="s">
        <v>34</v>
      </c>
      <c r="I88" s="223"/>
      <c r="J88" s="256" t="s">
        <v>157</v>
      </c>
      <c r="K88" s="223">
        <v>1</v>
      </c>
      <c r="L88" s="225"/>
      <c r="M88" s="223"/>
    </row>
    <row r="89" spans="1:14" x14ac:dyDescent="0.35">
      <c r="A89" s="251">
        <v>3</v>
      </c>
      <c r="B89" s="308">
        <v>45644</v>
      </c>
      <c r="C89" s="240"/>
      <c r="D89" s="240"/>
      <c r="E89" s="240"/>
      <c r="F89" s="247"/>
      <c r="G89" s="247"/>
      <c r="H89" s="257"/>
      <c r="I89" s="223"/>
      <c r="J89" s="256"/>
      <c r="K89" s="223"/>
      <c r="L89" s="225"/>
      <c r="M89" s="223"/>
    </row>
    <row r="90" spans="1:14" x14ac:dyDescent="0.35">
      <c r="A90" s="248">
        <v>4</v>
      </c>
      <c r="B90" s="308">
        <v>45645</v>
      </c>
      <c r="C90" s="226">
        <v>0.75</v>
      </c>
      <c r="D90" s="226">
        <v>0.875</v>
      </c>
      <c r="E90" s="226">
        <v>0.125</v>
      </c>
      <c r="F90" s="247" t="s">
        <v>159</v>
      </c>
      <c r="G90" s="247" t="s">
        <v>79</v>
      </c>
      <c r="H90" s="257" t="s">
        <v>34</v>
      </c>
      <c r="I90" s="223"/>
      <c r="J90" s="256" t="s">
        <v>157</v>
      </c>
      <c r="K90" s="211">
        <v>1</v>
      </c>
      <c r="L90" s="213"/>
      <c r="M90" s="211"/>
    </row>
    <row r="91" spans="1:14" x14ac:dyDescent="0.35">
      <c r="A91" s="251">
        <v>5</v>
      </c>
      <c r="B91" s="308">
        <v>45646</v>
      </c>
      <c r="C91" s="226">
        <v>0.66666666666666663</v>
      </c>
      <c r="D91" s="226">
        <v>0.79166666666666663</v>
      </c>
      <c r="E91" s="226">
        <v>0.125</v>
      </c>
      <c r="F91" s="277" t="s">
        <v>124</v>
      </c>
      <c r="G91" s="277" t="s">
        <v>258</v>
      </c>
      <c r="H91" s="286" t="s">
        <v>129</v>
      </c>
      <c r="I91" s="225" t="s">
        <v>316</v>
      </c>
      <c r="J91" s="256"/>
      <c r="K91" s="223">
        <v>1</v>
      </c>
      <c r="L91" s="309">
        <f>SUM(K5:K91)</f>
        <v>33</v>
      </c>
      <c r="M91" s="223">
        <v>3</v>
      </c>
    </row>
    <row r="92" spans="1:14" s="250" customFormat="1" x14ac:dyDescent="0.35">
      <c r="A92" s="248">
        <v>6</v>
      </c>
      <c r="B92" s="239">
        <v>45647</v>
      </c>
      <c r="C92" s="240"/>
      <c r="D92" s="240"/>
      <c r="E92" s="240"/>
      <c r="F92" s="297"/>
      <c r="G92" s="298"/>
      <c r="H92" s="243"/>
      <c r="I92" s="211"/>
      <c r="J92" s="244"/>
      <c r="K92" s="211"/>
      <c r="L92" s="213"/>
      <c r="M92" s="211"/>
    </row>
    <row r="93" spans="1:14" x14ac:dyDescent="0.35">
      <c r="A93" s="261">
        <v>7</v>
      </c>
      <c r="B93" s="310">
        <v>45648</v>
      </c>
      <c r="C93" s="263"/>
      <c r="D93" s="263"/>
      <c r="E93" s="268"/>
      <c r="F93" s="285"/>
      <c r="G93" s="289"/>
      <c r="H93" s="267"/>
      <c r="I93" s="236"/>
      <c r="J93" s="268"/>
      <c r="K93" s="236"/>
      <c r="L93" s="237"/>
      <c r="M93" s="236"/>
    </row>
    <row r="94" spans="1:14" x14ac:dyDescent="0.35">
      <c r="A94" s="311">
        <v>1</v>
      </c>
      <c r="B94" s="312">
        <v>45649</v>
      </c>
      <c r="C94" s="313"/>
      <c r="D94" s="313"/>
      <c r="E94" s="313"/>
      <c r="F94" s="314"/>
      <c r="G94" s="315"/>
      <c r="H94" s="316"/>
      <c r="I94" s="317"/>
      <c r="J94" s="318"/>
      <c r="K94" s="317"/>
      <c r="L94" s="319"/>
      <c r="M94" s="317"/>
      <c r="N94" t="s">
        <v>158</v>
      </c>
    </row>
    <row r="95" spans="1:14" x14ac:dyDescent="0.35">
      <c r="A95" s="311">
        <v>2</v>
      </c>
      <c r="B95" s="312">
        <v>45650</v>
      </c>
      <c r="C95" s="313"/>
      <c r="D95" s="313"/>
      <c r="E95" s="313"/>
      <c r="F95" s="314"/>
      <c r="G95" s="315"/>
      <c r="H95" s="316"/>
      <c r="I95" s="317"/>
      <c r="J95" s="318"/>
      <c r="K95" s="317"/>
      <c r="L95" s="319"/>
      <c r="M95" s="317"/>
      <c r="N95" t="s">
        <v>158</v>
      </c>
    </row>
    <row r="96" spans="1:14" x14ac:dyDescent="0.35">
      <c r="A96" s="311">
        <v>3</v>
      </c>
      <c r="B96" s="320">
        <v>45651</v>
      </c>
      <c r="C96" s="313"/>
      <c r="D96" s="313"/>
      <c r="E96" s="313"/>
      <c r="F96" s="314"/>
      <c r="G96" s="315"/>
      <c r="H96" s="316"/>
      <c r="I96" s="317"/>
      <c r="J96" s="318"/>
      <c r="K96" s="317"/>
      <c r="L96" s="319"/>
      <c r="M96" s="317"/>
      <c r="N96" t="s">
        <v>158</v>
      </c>
    </row>
    <row r="97" spans="1:14" x14ac:dyDescent="0.35">
      <c r="A97" s="311">
        <v>4</v>
      </c>
      <c r="B97" s="320">
        <v>45652</v>
      </c>
      <c r="C97" s="313"/>
      <c r="D97" s="313"/>
      <c r="E97" s="313"/>
      <c r="F97" s="314"/>
      <c r="G97" s="315"/>
      <c r="H97" s="316"/>
      <c r="I97" s="317"/>
      <c r="J97" s="318"/>
      <c r="K97" s="317"/>
      <c r="L97" s="319"/>
      <c r="M97" s="317"/>
      <c r="N97" t="s">
        <v>158</v>
      </c>
    </row>
    <row r="98" spans="1:14" x14ac:dyDescent="0.35">
      <c r="A98" s="311">
        <v>5</v>
      </c>
      <c r="B98" s="312">
        <v>45653</v>
      </c>
      <c r="C98" s="313"/>
      <c r="D98" s="313"/>
      <c r="E98" s="313"/>
      <c r="F98" s="314"/>
      <c r="G98" s="315"/>
      <c r="H98" s="316"/>
      <c r="I98" s="317"/>
      <c r="J98" s="318"/>
      <c r="K98" s="317"/>
      <c r="L98" s="319"/>
      <c r="M98" s="317"/>
      <c r="N98" t="s">
        <v>158</v>
      </c>
    </row>
    <row r="99" spans="1:14" x14ac:dyDescent="0.35">
      <c r="A99" s="311">
        <v>6</v>
      </c>
      <c r="B99" s="312">
        <v>45654</v>
      </c>
      <c r="C99" s="313"/>
      <c r="D99" s="313"/>
      <c r="E99" s="313"/>
      <c r="F99" s="314"/>
      <c r="G99" s="315"/>
      <c r="H99" s="316"/>
      <c r="I99" s="317"/>
      <c r="J99" s="318"/>
      <c r="K99" s="317"/>
      <c r="L99" s="319"/>
      <c r="M99" s="317"/>
      <c r="N99" t="s">
        <v>158</v>
      </c>
    </row>
    <row r="100" spans="1:14" x14ac:dyDescent="0.35">
      <c r="A100" s="261">
        <v>7</v>
      </c>
      <c r="B100" s="310">
        <v>45655</v>
      </c>
      <c r="C100" s="263"/>
      <c r="D100" s="263"/>
      <c r="E100" s="268"/>
      <c r="F100" s="285"/>
      <c r="G100" s="289"/>
      <c r="H100" s="267"/>
      <c r="I100" s="236"/>
      <c r="J100" s="268"/>
      <c r="K100" s="236"/>
      <c r="L100" s="237"/>
      <c r="M100" s="236"/>
      <c r="N100" t="s">
        <v>158</v>
      </c>
    </row>
    <row r="101" spans="1:14" x14ac:dyDescent="0.35">
      <c r="A101" s="311">
        <v>1</v>
      </c>
      <c r="B101" s="320">
        <v>45656</v>
      </c>
      <c r="C101" s="313"/>
      <c r="D101" s="313"/>
      <c r="E101" s="313"/>
      <c r="F101" s="314"/>
      <c r="G101" s="315"/>
      <c r="H101" s="316"/>
      <c r="I101" s="317"/>
      <c r="J101" s="318"/>
      <c r="K101" s="317"/>
      <c r="L101" s="319"/>
      <c r="M101" s="317"/>
      <c r="N101" t="s">
        <v>158</v>
      </c>
    </row>
    <row r="102" spans="1:14" x14ac:dyDescent="0.35">
      <c r="A102" s="311">
        <v>2</v>
      </c>
      <c r="B102" s="312">
        <v>45657</v>
      </c>
      <c r="C102" s="313"/>
      <c r="D102" s="313"/>
      <c r="E102" s="313"/>
      <c r="F102" s="314"/>
      <c r="G102" s="315"/>
      <c r="H102" s="316"/>
      <c r="I102" s="317"/>
      <c r="J102" s="318"/>
      <c r="K102" s="317"/>
      <c r="L102" s="319"/>
      <c r="M102" s="317"/>
      <c r="N102" t="s">
        <v>158</v>
      </c>
    </row>
    <row r="103" spans="1:14" x14ac:dyDescent="0.35">
      <c r="A103" s="311">
        <v>3</v>
      </c>
      <c r="B103" s="312">
        <v>45658</v>
      </c>
      <c r="C103" s="313"/>
      <c r="D103" s="313"/>
      <c r="E103" s="313"/>
      <c r="F103" s="314"/>
      <c r="G103" s="315"/>
      <c r="H103" s="316"/>
      <c r="I103" s="317"/>
      <c r="J103" s="318"/>
      <c r="K103" s="317"/>
      <c r="L103" s="319"/>
      <c r="M103" s="317"/>
      <c r="N103" t="s">
        <v>158</v>
      </c>
    </row>
    <row r="104" spans="1:14" x14ac:dyDescent="0.35">
      <c r="A104" s="311">
        <v>4</v>
      </c>
      <c r="B104" s="312">
        <v>45659</v>
      </c>
      <c r="C104" s="313"/>
      <c r="D104" s="313"/>
      <c r="E104" s="313"/>
      <c r="F104" s="314"/>
      <c r="G104" s="315"/>
      <c r="H104" s="316"/>
      <c r="I104" s="317"/>
      <c r="J104" s="318"/>
      <c r="K104" s="317"/>
      <c r="L104" s="319"/>
      <c r="M104" s="317"/>
      <c r="N104" t="s">
        <v>158</v>
      </c>
    </row>
    <row r="105" spans="1:14" x14ac:dyDescent="0.35">
      <c r="A105" s="311">
        <v>5</v>
      </c>
      <c r="B105" s="312">
        <v>45660</v>
      </c>
      <c r="C105" s="313"/>
      <c r="D105" s="313"/>
      <c r="E105" s="313"/>
      <c r="F105" s="314"/>
      <c r="G105" s="315"/>
      <c r="H105" s="316"/>
      <c r="I105" s="317"/>
      <c r="J105" s="318"/>
      <c r="K105" s="317"/>
      <c r="L105" s="319"/>
      <c r="M105" s="317"/>
      <c r="N105" t="s">
        <v>158</v>
      </c>
    </row>
    <row r="106" spans="1:14" x14ac:dyDescent="0.35">
      <c r="A106" s="311">
        <v>6</v>
      </c>
      <c r="B106" s="312">
        <v>45661</v>
      </c>
      <c r="C106" s="313"/>
      <c r="D106" s="313"/>
      <c r="E106" s="313"/>
      <c r="F106" s="314"/>
      <c r="G106" s="315"/>
      <c r="H106" s="316"/>
      <c r="I106" s="317"/>
      <c r="J106" s="318"/>
      <c r="K106" s="317"/>
      <c r="L106" s="319"/>
      <c r="M106" s="317"/>
      <c r="N106" t="s">
        <v>158</v>
      </c>
    </row>
    <row r="107" spans="1:14" x14ac:dyDescent="0.35">
      <c r="A107" s="261">
        <v>7</v>
      </c>
      <c r="B107" s="262">
        <v>45662</v>
      </c>
      <c r="C107" s="263"/>
      <c r="D107" s="263"/>
      <c r="E107" s="268"/>
      <c r="F107" s="285"/>
      <c r="G107" s="289"/>
      <c r="H107" s="267"/>
      <c r="I107" s="236"/>
      <c r="J107" s="268"/>
      <c r="K107" s="236"/>
      <c r="L107" s="237"/>
      <c r="M107" s="236"/>
      <c r="N107" t="s">
        <v>158</v>
      </c>
    </row>
    <row r="108" spans="1:14" x14ac:dyDescent="0.35">
      <c r="A108" s="311">
        <v>1</v>
      </c>
      <c r="B108" s="320">
        <v>45663</v>
      </c>
      <c r="C108" s="313"/>
      <c r="D108" s="313"/>
      <c r="E108" s="313"/>
      <c r="F108" s="321"/>
      <c r="G108" s="321"/>
      <c r="H108" s="322"/>
      <c r="I108" s="322"/>
      <c r="J108" s="313"/>
      <c r="K108" s="322"/>
      <c r="L108" s="323"/>
      <c r="M108" s="322"/>
      <c r="N108" t="s">
        <v>158</v>
      </c>
    </row>
    <row r="109" spans="1:14" x14ac:dyDescent="0.35">
      <c r="A109" s="251">
        <v>2</v>
      </c>
      <c r="B109" s="308">
        <v>45664</v>
      </c>
      <c r="C109" s="240">
        <v>0.75</v>
      </c>
      <c r="D109" s="240">
        <v>0.875</v>
      </c>
      <c r="E109" s="240">
        <v>0.125</v>
      </c>
      <c r="F109" s="247" t="s">
        <v>159</v>
      </c>
      <c r="G109" s="247" t="s">
        <v>259</v>
      </c>
      <c r="H109" s="257" t="s">
        <v>34</v>
      </c>
      <c r="I109" s="223"/>
      <c r="J109" s="256" t="s">
        <v>157</v>
      </c>
      <c r="K109" s="223">
        <v>1</v>
      </c>
      <c r="L109" s="225"/>
      <c r="M109" s="223"/>
    </row>
    <row r="110" spans="1:14" x14ac:dyDescent="0.35">
      <c r="A110" s="251">
        <v>3</v>
      </c>
      <c r="B110" s="308">
        <v>45665</v>
      </c>
      <c r="C110" s="240"/>
      <c r="D110" s="240"/>
      <c r="E110" s="240"/>
      <c r="F110" s="247"/>
      <c r="G110" s="247"/>
      <c r="H110" s="257"/>
      <c r="I110" s="223"/>
      <c r="J110" s="256"/>
      <c r="K110" s="223"/>
      <c r="L110" s="225"/>
      <c r="M110" s="223"/>
    </row>
    <row r="111" spans="1:14" x14ac:dyDescent="0.35">
      <c r="A111" s="251">
        <v>4</v>
      </c>
      <c r="B111" s="308">
        <v>45666</v>
      </c>
      <c r="C111" s="226">
        <v>0.75</v>
      </c>
      <c r="D111" s="226">
        <v>0.875</v>
      </c>
      <c r="E111" s="226">
        <v>0.125</v>
      </c>
      <c r="F111" s="247" t="s">
        <v>159</v>
      </c>
      <c r="G111" s="247" t="s">
        <v>260</v>
      </c>
      <c r="H111" s="257" t="s">
        <v>34</v>
      </c>
      <c r="I111" s="223"/>
      <c r="J111" s="256" t="s">
        <v>157</v>
      </c>
      <c r="K111" s="211">
        <v>1</v>
      </c>
      <c r="L111" s="225"/>
      <c r="M111" s="223"/>
    </row>
    <row r="112" spans="1:14" x14ac:dyDescent="0.35">
      <c r="A112" s="251">
        <v>5</v>
      </c>
      <c r="B112" s="308">
        <v>45667</v>
      </c>
      <c r="C112" s="226">
        <v>0.66666666666666663</v>
      </c>
      <c r="D112" s="226">
        <v>0.79166666666666663</v>
      </c>
      <c r="E112" s="226">
        <v>0.125</v>
      </c>
      <c r="F112" s="247" t="s">
        <v>159</v>
      </c>
      <c r="G112" s="247" t="s">
        <v>82</v>
      </c>
      <c r="H112" s="257" t="s">
        <v>34</v>
      </c>
      <c r="I112" s="223"/>
      <c r="J112" s="256" t="s">
        <v>157</v>
      </c>
      <c r="K112" s="223">
        <v>1</v>
      </c>
      <c r="L112" s="225"/>
      <c r="M112" s="223"/>
    </row>
    <row r="113" spans="1:13" x14ac:dyDescent="0.35">
      <c r="A113" s="251">
        <v>6</v>
      </c>
      <c r="B113" s="308">
        <v>45668</v>
      </c>
      <c r="C113" s="226"/>
      <c r="D113" s="226"/>
      <c r="E113" s="226"/>
      <c r="F113" s="259"/>
      <c r="G113" s="271"/>
      <c r="H113" s="257"/>
      <c r="I113" s="223"/>
      <c r="J113" s="256"/>
      <c r="K113" s="223"/>
      <c r="L113" s="225"/>
      <c r="M113" s="223"/>
    </row>
    <row r="114" spans="1:13" x14ac:dyDescent="0.35">
      <c r="A114" s="261">
        <v>7</v>
      </c>
      <c r="B114" s="262">
        <v>45669</v>
      </c>
      <c r="C114" s="263"/>
      <c r="D114" s="263"/>
      <c r="E114" s="268"/>
      <c r="F114" s="285"/>
      <c r="G114" s="289"/>
      <c r="H114" s="267"/>
      <c r="I114" s="236"/>
      <c r="J114" s="268"/>
      <c r="K114" s="236"/>
      <c r="L114" s="237"/>
      <c r="M114" s="236"/>
    </row>
    <row r="115" spans="1:13" x14ac:dyDescent="0.35">
      <c r="A115" s="251">
        <v>1</v>
      </c>
      <c r="B115" s="308">
        <v>45670</v>
      </c>
      <c r="C115" s="226"/>
      <c r="D115" s="226"/>
      <c r="E115" s="226"/>
      <c r="F115" s="259"/>
      <c r="G115" s="271"/>
      <c r="H115" s="257"/>
      <c r="I115" s="223"/>
      <c r="J115" s="256"/>
      <c r="K115" s="223"/>
      <c r="L115" s="225"/>
      <c r="M115" s="223"/>
    </row>
    <row r="116" spans="1:13" x14ac:dyDescent="0.35">
      <c r="A116" s="251">
        <v>2</v>
      </c>
      <c r="B116" s="308">
        <v>45671</v>
      </c>
      <c r="C116" s="240">
        <v>0.75</v>
      </c>
      <c r="D116" s="240">
        <v>0.875</v>
      </c>
      <c r="E116" s="240">
        <v>0.125</v>
      </c>
      <c r="F116" s="247" t="s">
        <v>159</v>
      </c>
      <c r="G116" s="247" t="s">
        <v>83</v>
      </c>
      <c r="H116" s="257" t="s">
        <v>34</v>
      </c>
      <c r="I116" s="257"/>
      <c r="J116" s="256" t="s">
        <v>157</v>
      </c>
      <c r="K116" s="223">
        <v>1</v>
      </c>
      <c r="L116" s="225"/>
      <c r="M116" s="223"/>
    </row>
    <row r="117" spans="1:13" x14ac:dyDescent="0.35">
      <c r="A117" s="251">
        <v>3</v>
      </c>
      <c r="B117" s="308">
        <v>45672</v>
      </c>
      <c r="C117" s="240"/>
      <c r="D117" s="240"/>
      <c r="E117" s="240"/>
      <c r="F117" s="247"/>
      <c r="G117" s="247"/>
      <c r="H117" s="257"/>
      <c r="I117" s="223"/>
      <c r="J117" s="256"/>
      <c r="K117" s="223"/>
      <c r="L117" s="225"/>
      <c r="M117" s="223"/>
    </row>
    <row r="118" spans="1:13" x14ac:dyDescent="0.35">
      <c r="A118" s="251">
        <v>4</v>
      </c>
      <c r="B118" s="308">
        <v>45673</v>
      </c>
      <c r="C118" s="226">
        <v>0.75</v>
      </c>
      <c r="D118" s="226">
        <v>0.875</v>
      </c>
      <c r="E118" s="226">
        <v>0.125</v>
      </c>
      <c r="F118" s="277" t="s">
        <v>132</v>
      </c>
      <c r="G118" s="277" t="s">
        <v>261</v>
      </c>
      <c r="H118" s="286" t="s">
        <v>129</v>
      </c>
      <c r="I118" s="225" t="s">
        <v>316</v>
      </c>
      <c r="J118" s="256"/>
      <c r="K118" s="211">
        <v>1</v>
      </c>
      <c r="L118" s="225"/>
      <c r="M118" s="223">
        <v>3</v>
      </c>
    </row>
    <row r="119" spans="1:13" x14ac:dyDescent="0.35">
      <c r="A119" s="251">
        <v>5</v>
      </c>
      <c r="B119" s="308">
        <v>45674</v>
      </c>
      <c r="C119" s="226">
        <v>0.66666666666666663</v>
      </c>
      <c r="D119" s="226">
        <v>0.79166666666666663</v>
      </c>
      <c r="E119" s="226">
        <v>0.125</v>
      </c>
      <c r="F119" s="277" t="s">
        <v>132</v>
      </c>
      <c r="G119" s="277" t="s">
        <v>261</v>
      </c>
      <c r="H119" s="286" t="s">
        <v>129</v>
      </c>
      <c r="I119" s="225" t="s">
        <v>316</v>
      </c>
      <c r="J119" s="256"/>
      <c r="K119" s="223">
        <v>1</v>
      </c>
      <c r="L119" s="225"/>
      <c r="M119" s="223">
        <v>3</v>
      </c>
    </row>
    <row r="120" spans="1:13" x14ac:dyDescent="0.35">
      <c r="A120" s="251">
        <v>6</v>
      </c>
      <c r="B120" s="308">
        <v>45675</v>
      </c>
      <c r="C120" s="226"/>
      <c r="D120" s="226"/>
      <c r="E120" s="226"/>
      <c r="F120" s="259"/>
      <c r="G120" s="271"/>
      <c r="H120" s="257"/>
      <c r="I120" s="223"/>
      <c r="J120" s="256"/>
      <c r="K120" s="223"/>
      <c r="L120" s="225"/>
      <c r="M120" s="223"/>
    </row>
    <row r="121" spans="1:13" x14ac:dyDescent="0.35">
      <c r="A121" s="261">
        <v>7</v>
      </c>
      <c r="B121" s="262">
        <v>45676</v>
      </c>
      <c r="C121" s="263"/>
      <c r="D121" s="263"/>
      <c r="E121" s="268"/>
      <c r="F121" s="285"/>
      <c r="G121" s="289"/>
      <c r="H121" s="267"/>
      <c r="I121" s="236"/>
      <c r="J121" s="268"/>
      <c r="K121" s="236"/>
      <c r="L121" s="237"/>
      <c r="M121" s="236"/>
    </row>
    <row r="122" spans="1:13" x14ac:dyDescent="0.35">
      <c r="A122" s="251">
        <v>1</v>
      </c>
      <c r="B122" s="308">
        <v>45677</v>
      </c>
      <c r="C122" s="226"/>
      <c r="D122" s="226"/>
      <c r="E122" s="226"/>
      <c r="F122" s="259"/>
      <c r="G122" s="271"/>
      <c r="H122" s="257"/>
      <c r="I122" s="223"/>
      <c r="J122" s="256"/>
      <c r="K122" s="223"/>
      <c r="L122" s="225"/>
      <c r="M122" s="223"/>
    </row>
    <row r="123" spans="1:13" x14ac:dyDescent="0.35">
      <c r="A123" s="251">
        <v>2</v>
      </c>
      <c r="B123" s="246">
        <v>45678</v>
      </c>
      <c r="C123" s="240">
        <v>0.75</v>
      </c>
      <c r="D123" s="240">
        <v>0.875</v>
      </c>
      <c r="E123" s="240">
        <v>0.125</v>
      </c>
      <c r="F123" s="247" t="s">
        <v>85</v>
      </c>
      <c r="G123" s="324" t="s">
        <v>262</v>
      </c>
      <c r="H123" s="257" t="s">
        <v>38</v>
      </c>
      <c r="I123" s="223"/>
      <c r="J123" s="290" t="s">
        <v>157</v>
      </c>
      <c r="K123" s="223">
        <v>1</v>
      </c>
      <c r="L123" s="225"/>
      <c r="M123" s="223"/>
    </row>
    <row r="124" spans="1:13" x14ac:dyDescent="0.35">
      <c r="A124" s="251">
        <v>3</v>
      </c>
      <c r="B124" s="308">
        <v>45679</v>
      </c>
      <c r="C124" s="240"/>
      <c r="D124" s="240"/>
      <c r="E124" s="240"/>
      <c r="F124" s="247"/>
      <c r="G124" s="247"/>
      <c r="H124" s="247"/>
      <c r="I124" s="223"/>
      <c r="J124" s="256"/>
      <c r="K124" s="223"/>
      <c r="L124" s="225"/>
      <c r="M124" s="223"/>
    </row>
    <row r="125" spans="1:13" x14ac:dyDescent="0.35">
      <c r="A125" s="251">
        <v>4</v>
      </c>
      <c r="B125" s="308">
        <v>45680</v>
      </c>
      <c r="C125" s="226">
        <v>0.75</v>
      </c>
      <c r="D125" s="226">
        <v>0.875</v>
      </c>
      <c r="E125" s="226">
        <v>0.125</v>
      </c>
      <c r="F125" s="247" t="s">
        <v>85</v>
      </c>
      <c r="G125" s="324" t="s">
        <v>263</v>
      </c>
      <c r="H125" s="257" t="s">
        <v>38</v>
      </c>
      <c r="I125" s="223"/>
      <c r="J125" s="290" t="s">
        <v>157</v>
      </c>
      <c r="K125" s="211">
        <v>1</v>
      </c>
      <c r="L125" s="225"/>
      <c r="M125" s="223"/>
    </row>
    <row r="126" spans="1:13" x14ac:dyDescent="0.35">
      <c r="A126" s="251">
        <v>5</v>
      </c>
      <c r="B126" s="308">
        <v>45681</v>
      </c>
      <c r="C126" s="226">
        <v>0.66666666666666663</v>
      </c>
      <c r="D126" s="226">
        <v>0.79166666666666663</v>
      </c>
      <c r="E126" s="226">
        <v>0.125</v>
      </c>
      <c r="F126" s="247" t="s">
        <v>85</v>
      </c>
      <c r="G126" s="324" t="s">
        <v>301</v>
      </c>
      <c r="H126" s="257" t="s">
        <v>38</v>
      </c>
      <c r="I126" s="223"/>
      <c r="J126" s="290" t="s">
        <v>157</v>
      </c>
      <c r="K126" s="223">
        <v>1</v>
      </c>
      <c r="L126" s="225"/>
      <c r="M126" s="223"/>
    </row>
    <row r="127" spans="1:13" x14ac:dyDescent="0.35">
      <c r="A127" s="251">
        <v>6</v>
      </c>
      <c r="B127" s="308">
        <v>45682</v>
      </c>
      <c r="C127" s="226"/>
      <c r="D127" s="226"/>
      <c r="E127" s="226"/>
      <c r="F127" s="259"/>
      <c r="G127" s="271"/>
      <c r="H127" s="257"/>
      <c r="I127" s="223"/>
      <c r="J127" s="256"/>
      <c r="K127" s="223"/>
      <c r="L127" s="225"/>
      <c r="M127" s="223"/>
    </row>
    <row r="128" spans="1:13" x14ac:dyDescent="0.35">
      <c r="A128" s="261">
        <v>7</v>
      </c>
      <c r="B128" s="262">
        <v>45683</v>
      </c>
      <c r="C128" s="263"/>
      <c r="D128" s="263"/>
      <c r="E128" s="268"/>
      <c r="F128" s="285"/>
      <c r="G128" s="289"/>
      <c r="H128" s="267"/>
      <c r="I128" s="236"/>
      <c r="J128" s="268"/>
      <c r="K128" s="236"/>
      <c r="L128" s="237"/>
      <c r="M128" s="236"/>
    </row>
    <row r="129" spans="1:13" x14ac:dyDescent="0.35">
      <c r="A129" s="251">
        <v>1</v>
      </c>
      <c r="B129" s="308">
        <v>45684</v>
      </c>
      <c r="C129" s="226"/>
      <c r="D129" s="226"/>
      <c r="E129" s="226"/>
      <c r="F129" s="259"/>
      <c r="G129" s="247"/>
      <c r="H129" s="257"/>
      <c r="I129" s="223"/>
      <c r="J129" s="256"/>
      <c r="K129" s="223"/>
      <c r="L129" s="225"/>
      <c r="M129" s="223"/>
    </row>
    <row r="130" spans="1:13" x14ac:dyDescent="0.35">
      <c r="A130" s="251">
        <v>2</v>
      </c>
      <c r="B130" s="308">
        <v>45685</v>
      </c>
      <c r="C130" s="240">
        <v>0.75</v>
      </c>
      <c r="D130" s="240">
        <v>0.875</v>
      </c>
      <c r="E130" s="240">
        <v>0.125</v>
      </c>
      <c r="F130" s="247" t="s">
        <v>85</v>
      </c>
      <c r="G130" s="324" t="s">
        <v>264</v>
      </c>
      <c r="H130" s="257" t="s">
        <v>38</v>
      </c>
      <c r="I130" s="325" t="s">
        <v>94</v>
      </c>
      <c r="J130" s="290" t="s">
        <v>157</v>
      </c>
      <c r="K130" s="223">
        <v>1</v>
      </c>
      <c r="L130" s="225"/>
      <c r="M130" s="223"/>
    </row>
    <row r="131" spans="1:13" x14ac:dyDescent="0.35">
      <c r="A131" s="251">
        <v>3</v>
      </c>
      <c r="B131" s="308">
        <v>45686</v>
      </c>
      <c r="C131" s="240"/>
      <c r="D131" s="240"/>
      <c r="E131" s="240"/>
      <c r="F131" s="247"/>
      <c r="G131" s="247"/>
      <c r="H131" s="247"/>
      <c r="I131" s="247"/>
      <c r="J131" s="247"/>
      <c r="K131" s="223"/>
      <c r="L131" s="225"/>
      <c r="M131" s="223"/>
    </row>
    <row r="132" spans="1:13" x14ac:dyDescent="0.35">
      <c r="A132" s="251">
        <v>4</v>
      </c>
      <c r="B132" s="308">
        <v>45687</v>
      </c>
      <c r="C132" s="226">
        <v>0.75</v>
      </c>
      <c r="D132" s="226">
        <v>0.875</v>
      </c>
      <c r="E132" s="226">
        <v>0.125</v>
      </c>
      <c r="F132" s="247" t="s">
        <v>85</v>
      </c>
      <c r="G132" s="326" t="s">
        <v>87</v>
      </c>
      <c r="H132" s="223" t="s">
        <v>88</v>
      </c>
      <c r="I132" s="223"/>
      <c r="J132" s="223" t="s">
        <v>157</v>
      </c>
      <c r="K132" s="211">
        <v>1</v>
      </c>
      <c r="L132" s="225"/>
      <c r="M132" s="223"/>
    </row>
    <row r="133" spans="1:13" x14ac:dyDescent="0.35">
      <c r="A133" s="251">
        <v>5</v>
      </c>
      <c r="B133" s="308">
        <v>45688</v>
      </c>
      <c r="C133" s="226">
        <v>0.66666666666666663</v>
      </c>
      <c r="D133" s="226">
        <v>0.79166666666666663</v>
      </c>
      <c r="E133" s="226">
        <v>0.125</v>
      </c>
      <c r="F133" s="247" t="s">
        <v>85</v>
      </c>
      <c r="G133" s="247" t="s">
        <v>89</v>
      </c>
      <c r="H133" s="257" t="s">
        <v>29</v>
      </c>
      <c r="I133" s="223"/>
      <c r="J133" s="256" t="s">
        <v>157</v>
      </c>
      <c r="K133" s="223">
        <v>1</v>
      </c>
      <c r="L133" s="225"/>
      <c r="M133" s="223"/>
    </row>
    <row r="134" spans="1:13" x14ac:dyDescent="0.35">
      <c r="A134" s="251">
        <v>6</v>
      </c>
      <c r="B134" s="308">
        <v>45689</v>
      </c>
      <c r="C134" s="226"/>
      <c r="D134" s="226"/>
      <c r="E134" s="226"/>
      <c r="F134" s="259"/>
      <c r="G134" s="271"/>
      <c r="H134" s="257"/>
      <c r="I134" s="223"/>
      <c r="J134" s="256"/>
      <c r="K134" s="223"/>
      <c r="L134" s="225"/>
      <c r="M134" s="223"/>
    </row>
    <row r="135" spans="1:13" x14ac:dyDescent="0.35">
      <c r="A135" s="261">
        <v>7</v>
      </c>
      <c r="B135" s="262">
        <v>45690</v>
      </c>
      <c r="C135" s="263"/>
      <c r="D135" s="263"/>
      <c r="E135" s="268"/>
      <c r="F135" s="285"/>
      <c r="G135" s="289"/>
      <c r="H135" s="267"/>
      <c r="I135" s="236"/>
      <c r="J135" s="268"/>
      <c r="K135" s="236"/>
      <c r="L135" s="237"/>
      <c r="M135" s="236"/>
    </row>
    <row r="136" spans="1:13" x14ac:dyDescent="0.35">
      <c r="A136" s="251">
        <v>1</v>
      </c>
      <c r="B136" s="308">
        <v>45691</v>
      </c>
      <c r="C136" s="226"/>
      <c r="D136" s="226"/>
      <c r="E136" s="226"/>
      <c r="F136" s="259"/>
      <c r="G136" s="271"/>
      <c r="H136" s="257"/>
      <c r="I136" s="223"/>
      <c r="J136" s="256"/>
      <c r="K136" s="223"/>
      <c r="L136" s="225"/>
      <c r="M136" s="223"/>
    </row>
    <row r="137" spans="1:13" x14ac:dyDescent="0.35">
      <c r="A137" s="251">
        <v>2</v>
      </c>
      <c r="B137" s="246">
        <v>45692</v>
      </c>
      <c r="C137" s="240">
        <v>0.75</v>
      </c>
      <c r="D137" s="240">
        <v>0.875</v>
      </c>
      <c r="E137" s="240">
        <v>0.125</v>
      </c>
      <c r="F137" s="247" t="s">
        <v>92</v>
      </c>
      <c r="G137" s="247" t="s">
        <v>265</v>
      </c>
      <c r="H137" s="223" t="s">
        <v>94</v>
      </c>
      <c r="I137" s="223"/>
      <c r="J137" s="256"/>
      <c r="K137" s="223">
        <v>1</v>
      </c>
      <c r="L137" s="225"/>
      <c r="M137" s="223"/>
    </row>
    <row r="138" spans="1:13" x14ac:dyDescent="0.35">
      <c r="A138" s="251">
        <v>3</v>
      </c>
      <c r="B138" s="308">
        <v>45693</v>
      </c>
      <c r="C138" s="240"/>
      <c r="D138" s="240"/>
      <c r="E138" s="240"/>
      <c r="F138" s="247"/>
      <c r="G138" s="247"/>
      <c r="H138" s="223"/>
      <c r="I138" s="223"/>
      <c r="J138" s="256"/>
      <c r="K138" s="223"/>
      <c r="L138" s="225"/>
      <c r="M138" s="223"/>
    </row>
    <row r="139" spans="1:13" x14ac:dyDescent="0.35">
      <c r="A139" s="251">
        <v>4</v>
      </c>
      <c r="B139" s="308">
        <v>45694</v>
      </c>
      <c r="C139" s="226">
        <v>0.75</v>
      </c>
      <c r="D139" s="226">
        <v>0.875</v>
      </c>
      <c r="E139" s="226">
        <v>0.125</v>
      </c>
      <c r="F139" s="247" t="s">
        <v>92</v>
      </c>
      <c r="G139" s="247" t="s">
        <v>97</v>
      </c>
      <c r="H139" s="223" t="s">
        <v>94</v>
      </c>
      <c r="I139" s="223"/>
      <c r="J139" s="256"/>
      <c r="K139" s="211">
        <v>1</v>
      </c>
      <c r="L139" s="225"/>
      <c r="M139" s="223"/>
    </row>
    <row r="140" spans="1:13" x14ac:dyDescent="0.35">
      <c r="A140" s="251">
        <v>5</v>
      </c>
      <c r="B140" s="308">
        <v>45695</v>
      </c>
      <c r="C140" s="226">
        <v>0.66666666666666663</v>
      </c>
      <c r="D140" s="226">
        <v>0.79166666666666663</v>
      </c>
      <c r="E140" s="226">
        <v>0.125</v>
      </c>
      <c r="F140" s="277" t="s">
        <v>124</v>
      </c>
      <c r="G140" s="277" t="s">
        <v>266</v>
      </c>
      <c r="H140" s="286" t="s">
        <v>129</v>
      </c>
      <c r="I140" s="225" t="s">
        <v>316</v>
      </c>
      <c r="J140" s="256"/>
      <c r="K140" s="223">
        <v>1</v>
      </c>
      <c r="L140" s="225"/>
      <c r="M140" s="223">
        <v>3</v>
      </c>
    </row>
    <row r="141" spans="1:13" x14ac:dyDescent="0.35">
      <c r="A141" s="251">
        <v>6</v>
      </c>
      <c r="B141" s="308">
        <v>45696</v>
      </c>
      <c r="C141" s="226"/>
      <c r="D141" s="226"/>
      <c r="E141" s="226"/>
      <c r="F141" s="259"/>
      <c r="G141" s="271"/>
      <c r="H141" s="257"/>
      <c r="I141" s="223"/>
      <c r="J141" s="256"/>
      <c r="K141" s="223"/>
      <c r="L141" s="225"/>
      <c r="M141" s="223"/>
    </row>
    <row r="142" spans="1:13" x14ac:dyDescent="0.35">
      <c r="A142" s="261">
        <v>7</v>
      </c>
      <c r="B142" s="262">
        <v>45697</v>
      </c>
      <c r="C142" s="263"/>
      <c r="D142" s="263"/>
      <c r="E142" s="268"/>
      <c r="F142" s="285"/>
      <c r="G142" s="289"/>
      <c r="H142" s="267"/>
      <c r="I142" s="236"/>
      <c r="J142" s="268"/>
      <c r="K142" s="236"/>
      <c r="L142" s="237"/>
      <c r="M142" s="236"/>
    </row>
    <row r="143" spans="1:13" x14ac:dyDescent="0.35">
      <c r="A143" s="251">
        <v>1</v>
      </c>
      <c r="B143" s="308">
        <v>45698</v>
      </c>
      <c r="C143" s="226"/>
      <c r="D143" s="226"/>
      <c r="E143" s="226"/>
      <c r="F143" s="259"/>
      <c r="G143" s="259"/>
      <c r="H143" s="259"/>
      <c r="I143" s="259"/>
      <c r="J143" s="256"/>
      <c r="K143" s="223"/>
      <c r="L143" s="225"/>
      <c r="M143" s="223"/>
    </row>
    <row r="144" spans="1:13" x14ac:dyDescent="0.35">
      <c r="A144" s="251">
        <v>2</v>
      </c>
      <c r="B144" s="308">
        <v>45699</v>
      </c>
      <c r="C144" s="240">
        <v>0.75</v>
      </c>
      <c r="D144" s="240">
        <v>0.875</v>
      </c>
      <c r="E144" s="240">
        <v>0.125</v>
      </c>
      <c r="F144" s="247" t="s">
        <v>92</v>
      </c>
      <c r="G144" s="324" t="s">
        <v>267</v>
      </c>
      <c r="H144" s="327" t="s">
        <v>129</v>
      </c>
      <c r="I144" s="325" t="s">
        <v>102</v>
      </c>
      <c r="J144" s="256"/>
      <c r="K144" s="223">
        <v>1</v>
      </c>
      <c r="L144" s="225"/>
      <c r="M144" s="223"/>
    </row>
    <row r="145" spans="1:14" x14ac:dyDescent="0.35">
      <c r="A145" s="251">
        <v>3</v>
      </c>
      <c r="B145" s="328">
        <v>45700</v>
      </c>
      <c r="C145" s="329"/>
      <c r="D145" s="329"/>
      <c r="E145" s="329"/>
      <c r="F145" s="253" t="s">
        <v>317</v>
      </c>
      <c r="G145" s="329" t="s">
        <v>324</v>
      </c>
      <c r="H145" s="329"/>
      <c r="I145" s="329"/>
      <c r="J145" s="256"/>
      <c r="K145" s="223"/>
      <c r="L145" s="225"/>
      <c r="M145" s="223"/>
      <c r="N145" t="s">
        <v>324</v>
      </c>
    </row>
    <row r="146" spans="1:14" x14ac:dyDescent="0.35">
      <c r="A146" s="251">
        <v>4</v>
      </c>
      <c r="B146" s="308">
        <v>45701</v>
      </c>
      <c r="C146" s="226">
        <v>0.75</v>
      </c>
      <c r="D146" s="226">
        <v>0.875</v>
      </c>
      <c r="E146" s="226">
        <v>0.125</v>
      </c>
      <c r="F146" s="247" t="s">
        <v>92</v>
      </c>
      <c r="G146" s="247" t="s">
        <v>98</v>
      </c>
      <c r="H146" s="223" t="s">
        <v>94</v>
      </c>
      <c r="I146" s="257"/>
      <c r="J146" s="256"/>
      <c r="K146" s="211">
        <v>1</v>
      </c>
      <c r="L146" s="225"/>
      <c r="M146" s="223"/>
      <c r="N146" t="s">
        <v>324</v>
      </c>
    </row>
    <row r="147" spans="1:14" x14ac:dyDescent="0.35">
      <c r="A147" s="251">
        <v>5</v>
      </c>
      <c r="B147" s="308">
        <v>45702</v>
      </c>
      <c r="C147" s="226">
        <v>0.66666666666666663</v>
      </c>
      <c r="D147" s="226">
        <v>0.79166666666666663</v>
      </c>
      <c r="E147" s="226">
        <v>0.125</v>
      </c>
      <c r="F147" s="247" t="s">
        <v>92</v>
      </c>
      <c r="G147" s="324" t="s">
        <v>99</v>
      </c>
      <c r="H147" s="325" t="s">
        <v>94</v>
      </c>
      <c r="I147" s="327" t="s">
        <v>95</v>
      </c>
      <c r="J147" s="256"/>
      <c r="K147" s="223">
        <v>1</v>
      </c>
      <c r="L147" s="225"/>
      <c r="M147" s="223"/>
      <c r="N147" t="s">
        <v>324</v>
      </c>
    </row>
    <row r="148" spans="1:14" x14ac:dyDescent="0.35">
      <c r="A148" s="251">
        <v>6</v>
      </c>
      <c r="B148" s="308">
        <v>45703</v>
      </c>
      <c r="C148" s="226"/>
      <c r="D148" s="226"/>
      <c r="E148" s="226"/>
      <c r="F148" s="259"/>
      <c r="G148" s="271"/>
      <c r="H148" s="257"/>
      <c r="I148" s="223"/>
      <c r="J148" s="256"/>
      <c r="K148" s="223"/>
      <c r="L148" s="225"/>
      <c r="M148" s="223"/>
    </row>
    <row r="149" spans="1:14" x14ac:dyDescent="0.35">
      <c r="A149" s="261">
        <v>7</v>
      </c>
      <c r="B149" s="262">
        <v>45704</v>
      </c>
      <c r="C149" s="263"/>
      <c r="D149" s="263"/>
      <c r="E149" s="268"/>
      <c r="F149" s="285"/>
      <c r="G149" s="289"/>
      <c r="H149" s="267"/>
      <c r="I149" s="236"/>
      <c r="J149" s="268"/>
      <c r="K149" s="236"/>
      <c r="L149" s="237"/>
      <c r="M149" s="236"/>
    </row>
    <row r="150" spans="1:14" x14ac:dyDescent="0.35">
      <c r="A150" s="251">
        <v>1</v>
      </c>
      <c r="B150" s="308">
        <v>45705</v>
      </c>
      <c r="C150" s="226"/>
      <c r="D150" s="226"/>
      <c r="E150" s="226"/>
      <c r="F150" s="259"/>
      <c r="G150" s="271"/>
      <c r="H150" s="257"/>
      <c r="I150" s="223"/>
      <c r="J150" s="256"/>
      <c r="K150" s="223"/>
      <c r="L150" s="225"/>
      <c r="M150" s="223"/>
    </row>
    <row r="151" spans="1:14" x14ac:dyDescent="0.35">
      <c r="A151" s="251">
        <v>2</v>
      </c>
      <c r="B151" s="246">
        <v>45706</v>
      </c>
      <c r="C151" s="240">
        <v>0.75</v>
      </c>
      <c r="D151" s="240">
        <v>0.875</v>
      </c>
      <c r="E151" s="240">
        <v>0.125</v>
      </c>
      <c r="F151" s="247" t="s">
        <v>37</v>
      </c>
      <c r="G151" s="324" t="s">
        <v>268</v>
      </c>
      <c r="H151" s="257" t="s">
        <v>38</v>
      </c>
      <c r="I151" s="223"/>
      <c r="J151" s="256" t="s">
        <v>157</v>
      </c>
      <c r="K151" s="223">
        <v>1</v>
      </c>
      <c r="L151" s="225"/>
      <c r="M151" s="223"/>
    </row>
    <row r="152" spans="1:14" x14ac:dyDescent="0.35">
      <c r="A152" s="251">
        <v>3</v>
      </c>
      <c r="B152" s="308">
        <v>45707</v>
      </c>
      <c r="C152" s="240"/>
      <c r="D152" s="240"/>
      <c r="E152" s="240"/>
      <c r="F152" s="247"/>
      <c r="G152" s="247"/>
      <c r="H152" s="247"/>
      <c r="I152" s="223"/>
      <c r="J152" s="256"/>
      <c r="K152" s="223"/>
      <c r="L152" s="225"/>
      <c r="M152" s="223"/>
    </row>
    <row r="153" spans="1:14" x14ac:dyDescent="0.35">
      <c r="A153" s="251">
        <v>4</v>
      </c>
      <c r="B153" s="308">
        <v>45708</v>
      </c>
      <c r="C153" s="226">
        <v>0.75</v>
      </c>
      <c r="D153" s="226">
        <v>0.875</v>
      </c>
      <c r="E153" s="226">
        <v>0.125</v>
      </c>
      <c r="F153" s="247" t="s">
        <v>37</v>
      </c>
      <c r="G153" s="324" t="s">
        <v>269</v>
      </c>
      <c r="H153" s="327" t="s">
        <v>300</v>
      </c>
      <c r="I153" s="223"/>
      <c r="J153" s="256" t="s">
        <v>157</v>
      </c>
      <c r="K153" s="211">
        <v>1</v>
      </c>
      <c r="L153" s="225"/>
      <c r="M153" s="223"/>
    </row>
    <row r="154" spans="1:14" x14ac:dyDescent="0.35">
      <c r="A154" s="251">
        <v>5</v>
      </c>
      <c r="B154" s="308">
        <v>45709</v>
      </c>
      <c r="C154" s="226">
        <v>0.66666666666666663</v>
      </c>
      <c r="D154" s="226">
        <v>0.79166666666666663</v>
      </c>
      <c r="E154" s="226">
        <v>0.125</v>
      </c>
      <c r="F154" s="247" t="s">
        <v>37</v>
      </c>
      <c r="G154" s="324" t="s">
        <v>270</v>
      </c>
      <c r="H154" s="327" t="s">
        <v>300</v>
      </c>
      <c r="I154" s="223"/>
      <c r="J154" s="256" t="s">
        <v>157</v>
      </c>
      <c r="K154" s="223">
        <v>1</v>
      </c>
      <c r="L154" s="225"/>
      <c r="M154" s="223"/>
    </row>
    <row r="155" spans="1:14" x14ac:dyDescent="0.35">
      <c r="A155" s="251">
        <v>6</v>
      </c>
      <c r="B155" s="308">
        <v>45710</v>
      </c>
      <c r="C155" s="226"/>
      <c r="D155" s="226"/>
      <c r="E155" s="226"/>
      <c r="F155" s="259"/>
      <c r="G155" s="271"/>
      <c r="H155" s="257"/>
      <c r="I155" s="223"/>
      <c r="J155" s="256"/>
      <c r="K155" s="223"/>
      <c r="L155" s="225"/>
      <c r="M155" s="223"/>
    </row>
    <row r="156" spans="1:14" x14ac:dyDescent="0.35">
      <c r="A156" s="261">
        <v>7</v>
      </c>
      <c r="B156" s="262">
        <v>45711</v>
      </c>
      <c r="C156" s="263"/>
      <c r="D156" s="263"/>
      <c r="E156" s="268"/>
      <c r="F156" s="285"/>
      <c r="G156" s="289"/>
      <c r="H156" s="267"/>
      <c r="I156" s="236"/>
      <c r="J156" s="268"/>
      <c r="K156" s="236"/>
      <c r="L156" s="237"/>
      <c r="M156" s="236"/>
    </row>
    <row r="157" spans="1:14" x14ac:dyDescent="0.35">
      <c r="A157" s="251">
        <v>1</v>
      </c>
      <c r="B157" s="308">
        <v>45712</v>
      </c>
      <c r="C157" s="226"/>
      <c r="D157" s="226"/>
      <c r="E157" s="226"/>
      <c r="F157" s="259"/>
      <c r="G157" s="271"/>
      <c r="H157" s="257"/>
      <c r="I157" s="223"/>
      <c r="J157" s="256"/>
      <c r="K157" s="223"/>
      <c r="L157" s="225"/>
      <c r="M157" s="223"/>
    </row>
    <row r="158" spans="1:14" x14ac:dyDescent="0.35">
      <c r="A158" s="251">
        <v>2</v>
      </c>
      <c r="B158" s="308">
        <v>45713</v>
      </c>
      <c r="C158" s="240">
        <v>0.75</v>
      </c>
      <c r="D158" s="240">
        <v>0.875</v>
      </c>
      <c r="E158" s="240">
        <v>0.125</v>
      </c>
      <c r="F158" s="247" t="s">
        <v>37</v>
      </c>
      <c r="G158" s="324" t="s">
        <v>271</v>
      </c>
      <c r="H158" s="327" t="s">
        <v>300</v>
      </c>
      <c r="I158" s="223"/>
      <c r="J158" s="256" t="s">
        <v>157</v>
      </c>
      <c r="K158" s="223">
        <v>1</v>
      </c>
      <c r="L158" s="225"/>
      <c r="M158" s="223"/>
    </row>
    <row r="159" spans="1:14" x14ac:dyDescent="0.35">
      <c r="A159" s="251">
        <v>3</v>
      </c>
      <c r="B159" s="308">
        <v>45714</v>
      </c>
      <c r="C159" s="240"/>
      <c r="D159" s="240"/>
      <c r="E159" s="240"/>
      <c r="F159" s="247"/>
      <c r="G159" s="247"/>
      <c r="H159" s="223"/>
      <c r="I159" s="223"/>
      <c r="J159" s="256"/>
      <c r="K159" s="223"/>
      <c r="L159" s="225"/>
      <c r="M159" s="223"/>
    </row>
    <row r="160" spans="1:14" x14ac:dyDescent="0.35">
      <c r="A160" s="251">
        <v>4</v>
      </c>
      <c r="B160" s="308">
        <v>45715</v>
      </c>
      <c r="C160" s="226">
        <v>0.75</v>
      </c>
      <c r="D160" s="226">
        <v>0.875</v>
      </c>
      <c r="E160" s="226">
        <v>0.125</v>
      </c>
      <c r="F160" s="247" t="s">
        <v>37</v>
      </c>
      <c r="G160" s="247" t="s">
        <v>272</v>
      </c>
      <c r="H160" s="223" t="s">
        <v>25</v>
      </c>
      <c r="I160" s="223" t="s">
        <v>41</v>
      </c>
      <c r="J160" s="256" t="s">
        <v>157</v>
      </c>
      <c r="K160" s="211">
        <v>1</v>
      </c>
      <c r="L160" s="225"/>
      <c r="M160" s="223"/>
    </row>
    <row r="161" spans="1:13" x14ac:dyDescent="0.35">
      <c r="A161" s="251">
        <v>5</v>
      </c>
      <c r="B161" s="308">
        <v>45716</v>
      </c>
      <c r="C161" s="226">
        <v>0.66666666666666663</v>
      </c>
      <c r="D161" s="226">
        <v>0.79166666666666663</v>
      </c>
      <c r="E161" s="226">
        <v>0.125</v>
      </c>
      <c r="F161" s="277" t="s">
        <v>124</v>
      </c>
      <c r="G161" s="277" t="s">
        <v>274</v>
      </c>
      <c r="H161" s="286" t="s">
        <v>129</v>
      </c>
      <c r="I161" s="225" t="s">
        <v>316</v>
      </c>
      <c r="J161" s="256"/>
      <c r="K161" s="223">
        <v>1</v>
      </c>
      <c r="L161" s="225"/>
      <c r="M161" s="223">
        <v>3</v>
      </c>
    </row>
    <row r="162" spans="1:13" x14ac:dyDescent="0.35">
      <c r="A162" s="251">
        <v>6</v>
      </c>
      <c r="B162" s="308">
        <v>45717</v>
      </c>
      <c r="C162" s="226"/>
      <c r="D162" s="226"/>
      <c r="E162" s="226"/>
      <c r="F162" s="259"/>
      <c r="G162" s="271"/>
      <c r="H162" s="257"/>
      <c r="I162" s="257"/>
      <c r="J162" s="257"/>
      <c r="K162" s="223"/>
      <c r="L162" s="225"/>
      <c r="M162" s="223"/>
    </row>
    <row r="163" spans="1:13" x14ac:dyDescent="0.35">
      <c r="A163" s="261">
        <v>7</v>
      </c>
      <c r="B163" s="262">
        <v>45718</v>
      </c>
      <c r="C163" s="263"/>
      <c r="D163" s="263"/>
      <c r="E163" s="268"/>
      <c r="F163" s="285"/>
      <c r="G163" s="289"/>
      <c r="H163" s="267"/>
      <c r="I163" s="236"/>
      <c r="J163" s="268"/>
      <c r="K163" s="236"/>
      <c r="L163" s="237"/>
      <c r="M163" s="236"/>
    </row>
    <row r="164" spans="1:13" x14ac:dyDescent="0.35">
      <c r="A164" s="251">
        <v>1</v>
      </c>
      <c r="B164" s="308">
        <v>45719</v>
      </c>
      <c r="C164" s="226"/>
      <c r="D164" s="226"/>
      <c r="E164" s="226"/>
      <c r="F164" s="259"/>
      <c r="G164" s="271"/>
      <c r="H164" s="257"/>
      <c r="I164" s="257"/>
      <c r="J164" s="257"/>
      <c r="K164" s="223"/>
      <c r="L164" s="225"/>
      <c r="M164" s="223"/>
    </row>
    <row r="165" spans="1:13" x14ac:dyDescent="0.35">
      <c r="A165" s="251">
        <v>2</v>
      </c>
      <c r="B165" s="308">
        <v>45720</v>
      </c>
      <c r="C165" s="240">
        <v>0.75</v>
      </c>
      <c r="D165" s="240">
        <v>0.875</v>
      </c>
      <c r="E165" s="240">
        <v>0.125</v>
      </c>
      <c r="F165" s="247" t="s">
        <v>37</v>
      </c>
      <c r="G165" s="247" t="s">
        <v>273</v>
      </c>
      <c r="H165" s="257" t="s">
        <v>94</v>
      </c>
      <c r="I165" s="223" t="s">
        <v>316</v>
      </c>
      <c r="J165" s="256"/>
      <c r="K165" s="223">
        <v>1</v>
      </c>
      <c r="L165" s="225"/>
      <c r="M165" s="223"/>
    </row>
    <row r="166" spans="1:13" x14ac:dyDescent="0.35">
      <c r="A166" s="251">
        <v>3</v>
      </c>
      <c r="B166" s="308">
        <v>45721</v>
      </c>
      <c r="C166" s="240"/>
      <c r="D166" s="240"/>
      <c r="E166" s="240"/>
      <c r="F166" s="247"/>
      <c r="G166" s="247"/>
      <c r="H166" s="257"/>
      <c r="I166" s="223"/>
      <c r="J166" s="256"/>
      <c r="K166" s="223"/>
      <c r="L166" s="225"/>
      <c r="M166" s="223"/>
    </row>
    <row r="167" spans="1:13" x14ac:dyDescent="0.35">
      <c r="A167" s="251">
        <v>4</v>
      </c>
      <c r="B167" s="308">
        <v>45722</v>
      </c>
      <c r="C167" s="226">
        <v>0.75</v>
      </c>
      <c r="D167" s="226">
        <v>0.875</v>
      </c>
      <c r="E167" s="226">
        <v>0.125</v>
      </c>
      <c r="F167" s="247" t="s">
        <v>37</v>
      </c>
      <c r="G167" s="247" t="s">
        <v>275</v>
      </c>
      <c r="H167" s="257" t="s">
        <v>94</v>
      </c>
      <c r="I167" s="223" t="s">
        <v>316</v>
      </c>
      <c r="J167" s="256"/>
      <c r="K167" s="211">
        <v>1</v>
      </c>
      <c r="L167" s="225"/>
      <c r="M167" s="223"/>
    </row>
    <row r="168" spans="1:13" x14ac:dyDescent="0.35">
      <c r="A168" s="251">
        <v>5</v>
      </c>
      <c r="B168" s="308">
        <v>45723</v>
      </c>
      <c r="C168" s="226">
        <v>0.66666666666666663</v>
      </c>
      <c r="D168" s="226">
        <v>0.79166666666666663</v>
      </c>
      <c r="E168" s="226">
        <v>0.125</v>
      </c>
      <c r="F168" s="247" t="s">
        <v>37</v>
      </c>
      <c r="G168" s="247" t="s">
        <v>45</v>
      </c>
      <c r="H168" s="257" t="s">
        <v>38</v>
      </c>
      <c r="I168" s="211"/>
      <c r="J168" s="244" t="s">
        <v>157</v>
      </c>
      <c r="K168" s="223">
        <v>1</v>
      </c>
      <c r="L168" s="225"/>
      <c r="M168" s="223"/>
    </row>
    <row r="169" spans="1:13" x14ac:dyDescent="0.35">
      <c r="A169" s="251">
        <v>6</v>
      </c>
      <c r="B169" s="308">
        <v>45724</v>
      </c>
      <c r="C169" s="226"/>
      <c r="D169" s="226"/>
      <c r="E169" s="226"/>
      <c r="F169" s="259"/>
      <c r="G169" s="271"/>
      <c r="H169" s="257"/>
      <c r="I169" s="223"/>
      <c r="J169" s="256"/>
      <c r="K169" s="223"/>
      <c r="L169" s="225"/>
      <c r="M169" s="223"/>
    </row>
    <row r="170" spans="1:13" x14ac:dyDescent="0.35">
      <c r="A170" s="261">
        <v>7</v>
      </c>
      <c r="B170" s="262">
        <v>45725</v>
      </c>
      <c r="C170" s="263"/>
      <c r="D170" s="263"/>
      <c r="E170" s="268"/>
      <c r="F170" s="285"/>
      <c r="G170" s="289"/>
      <c r="H170" s="267"/>
      <c r="I170" s="236"/>
      <c r="J170" s="268"/>
      <c r="K170" s="236"/>
      <c r="L170" s="237"/>
      <c r="M170" s="236"/>
    </row>
    <row r="171" spans="1:13" x14ac:dyDescent="0.35">
      <c r="A171" s="251">
        <v>1</v>
      </c>
      <c r="B171" s="308">
        <v>45726</v>
      </c>
      <c r="C171" s="226"/>
      <c r="D171" s="226"/>
      <c r="E171" s="226"/>
      <c r="F171" s="259"/>
      <c r="G171" s="259"/>
      <c r="H171" s="259"/>
      <c r="I171" s="259"/>
      <c r="J171" s="259"/>
      <c r="K171" s="223"/>
      <c r="L171" s="225"/>
      <c r="M171" s="223"/>
    </row>
    <row r="172" spans="1:13" x14ac:dyDescent="0.35">
      <c r="A172" s="251">
        <v>2</v>
      </c>
      <c r="B172" s="308">
        <v>45727</v>
      </c>
      <c r="C172" s="240">
        <v>0.75</v>
      </c>
      <c r="D172" s="240">
        <v>0.875</v>
      </c>
      <c r="E172" s="240">
        <v>0.125</v>
      </c>
      <c r="F172" s="247" t="s">
        <v>37</v>
      </c>
      <c r="G172" s="247" t="s">
        <v>276</v>
      </c>
      <c r="H172" s="257" t="s">
        <v>38</v>
      </c>
      <c r="I172" s="211"/>
      <c r="J172" s="244" t="s">
        <v>157</v>
      </c>
      <c r="K172" s="223">
        <v>1</v>
      </c>
      <c r="L172" s="225"/>
      <c r="M172" s="223"/>
    </row>
    <row r="173" spans="1:13" x14ac:dyDescent="0.35">
      <c r="A173" s="251">
        <v>3</v>
      </c>
      <c r="B173" s="308">
        <v>45728</v>
      </c>
      <c r="C173" s="240"/>
      <c r="D173" s="240"/>
      <c r="E173" s="240"/>
      <c r="F173" s="249"/>
      <c r="G173" s="249"/>
      <c r="H173" s="243"/>
      <c r="I173" s="211"/>
      <c r="J173" s="244"/>
      <c r="K173" s="223"/>
      <c r="L173" s="225"/>
      <c r="M173" s="223"/>
    </row>
    <row r="174" spans="1:13" x14ac:dyDescent="0.35">
      <c r="A174" s="251">
        <v>4</v>
      </c>
      <c r="B174" s="308">
        <v>45729</v>
      </c>
      <c r="C174" s="226">
        <v>0.75</v>
      </c>
      <c r="D174" s="226">
        <v>0.875</v>
      </c>
      <c r="E174" s="226">
        <v>0.125</v>
      </c>
      <c r="F174" s="247" t="s">
        <v>37</v>
      </c>
      <c r="G174" s="247" t="s">
        <v>277</v>
      </c>
      <c r="H174" s="257" t="s">
        <v>38</v>
      </c>
      <c r="I174" s="211"/>
      <c r="J174" s="244" t="s">
        <v>157</v>
      </c>
      <c r="K174" s="211">
        <v>1</v>
      </c>
      <c r="L174" s="225"/>
      <c r="M174" s="223"/>
    </row>
    <row r="175" spans="1:13" x14ac:dyDescent="0.35">
      <c r="A175" s="251">
        <v>5</v>
      </c>
      <c r="B175" s="328">
        <v>45730</v>
      </c>
      <c r="C175" s="226">
        <v>0.66666666666666663</v>
      </c>
      <c r="D175" s="226">
        <v>0.79166666666666663</v>
      </c>
      <c r="E175" s="226">
        <v>0.125</v>
      </c>
      <c r="F175" s="247" t="s">
        <v>37</v>
      </c>
      <c r="G175" s="247" t="s">
        <v>278</v>
      </c>
      <c r="H175" s="243" t="s">
        <v>48</v>
      </c>
      <c r="I175" s="211"/>
      <c r="J175" s="211"/>
      <c r="K175" s="223">
        <v>1</v>
      </c>
      <c r="L175" s="225"/>
      <c r="M175" s="223"/>
    </row>
    <row r="176" spans="1:13" x14ac:dyDescent="0.35">
      <c r="A176" s="251">
        <v>6</v>
      </c>
      <c r="B176" s="308">
        <v>45731</v>
      </c>
      <c r="C176" s="226"/>
      <c r="D176" s="226"/>
      <c r="E176" s="226"/>
      <c r="F176" s="259"/>
      <c r="G176" s="271"/>
      <c r="H176" s="257"/>
      <c r="I176" s="223"/>
      <c r="J176" s="256"/>
      <c r="K176" s="223"/>
      <c r="L176" s="225"/>
      <c r="M176" s="223"/>
    </row>
    <row r="177" spans="1:14" x14ac:dyDescent="0.35">
      <c r="A177" s="261">
        <v>7</v>
      </c>
      <c r="B177" s="262">
        <v>45732</v>
      </c>
      <c r="C177" s="263"/>
      <c r="D177" s="263"/>
      <c r="E177" s="268"/>
      <c r="F177" s="285"/>
      <c r="G177" s="289"/>
      <c r="H177" s="267"/>
      <c r="I177" s="236"/>
      <c r="J177" s="268"/>
      <c r="K177" s="236"/>
      <c r="L177" s="237"/>
      <c r="M177" s="236"/>
    </row>
    <row r="178" spans="1:14" x14ac:dyDescent="0.35">
      <c r="A178" s="251">
        <v>1</v>
      </c>
      <c r="B178" s="308">
        <v>45733</v>
      </c>
      <c r="C178" s="226"/>
      <c r="D178" s="226"/>
      <c r="E178" s="226"/>
      <c r="F178" s="247"/>
      <c r="G178" s="247"/>
      <c r="H178" s="257"/>
      <c r="I178" s="223"/>
      <c r="J178" s="256"/>
      <c r="K178" s="223"/>
      <c r="L178" s="225"/>
      <c r="M178" s="223"/>
    </row>
    <row r="179" spans="1:14" x14ac:dyDescent="0.35">
      <c r="A179" s="251">
        <v>2</v>
      </c>
      <c r="B179" s="308">
        <v>45734</v>
      </c>
      <c r="C179" s="240">
        <v>0.75</v>
      </c>
      <c r="D179" s="240">
        <v>0.875</v>
      </c>
      <c r="E179" s="240">
        <v>0.125</v>
      </c>
      <c r="F179" s="247" t="s">
        <v>37</v>
      </c>
      <c r="G179" s="247" t="s">
        <v>279</v>
      </c>
      <c r="H179" s="243" t="s">
        <v>48</v>
      </c>
      <c r="I179" s="223"/>
      <c r="J179" s="256"/>
      <c r="K179" s="223">
        <v>1</v>
      </c>
      <c r="L179" s="225"/>
      <c r="M179" s="223"/>
    </row>
    <row r="180" spans="1:14" x14ac:dyDescent="0.35">
      <c r="A180" s="251">
        <v>3</v>
      </c>
      <c r="B180" s="308">
        <v>45735</v>
      </c>
      <c r="C180" s="240"/>
      <c r="D180" s="240"/>
      <c r="E180" s="240"/>
      <c r="F180" s="249"/>
      <c r="G180" s="249"/>
      <c r="H180" s="243"/>
      <c r="I180" s="223"/>
      <c r="J180" s="256"/>
      <c r="K180" s="223"/>
      <c r="L180" s="225"/>
      <c r="M180" s="223"/>
    </row>
    <row r="181" spans="1:14" x14ac:dyDescent="0.35">
      <c r="A181" s="251">
        <v>4</v>
      </c>
      <c r="B181" s="308">
        <v>45736</v>
      </c>
      <c r="C181" s="226">
        <v>0.75</v>
      </c>
      <c r="D181" s="226">
        <v>0.875</v>
      </c>
      <c r="E181" s="226">
        <v>0.125</v>
      </c>
      <c r="F181" s="247" t="s">
        <v>37</v>
      </c>
      <c r="G181" s="247" t="s">
        <v>50</v>
      </c>
      <c r="H181" s="243" t="s">
        <v>34</v>
      </c>
      <c r="I181" s="223"/>
      <c r="J181" s="256" t="s">
        <v>157</v>
      </c>
      <c r="K181" s="211">
        <v>1</v>
      </c>
      <c r="L181" s="225"/>
      <c r="M181" s="223"/>
    </row>
    <row r="182" spans="1:14" x14ac:dyDescent="0.35">
      <c r="A182" s="251">
        <v>5</v>
      </c>
      <c r="B182" s="308">
        <v>45737</v>
      </c>
      <c r="C182" s="226">
        <v>0.66666666666666663</v>
      </c>
      <c r="D182" s="226">
        <v>0.79166666666666663</v>
      </c>
      <c r="E182" s="226">
        <v>0.125</v>
      </c>
      <c r="F182" s="247" t="s">
        <v>37</v>
      </c>
      <c r="G182" s="247" t="s">
        <v>280</v>
      </c>
      <c r="H182" s="243" t="s">
        <v>34</v>
      </c>
      <c r="I182" s="223"/>
      <c r="J182" s="256" t="s">
        <v>157</v>
      </c>
      <c r="K182" s="223">
        <v>1</v>
      </c>
      <c r="L182" s="225"/>
      <c r="M182" s="223"/>
    </row>
    <row r="183" spans="1:14" x14ac:dyDescent="0.35">
      <c r="A183" s="251">
        <v>6</v>
      </c>
      <c r="B183" s="308">
        <v>45738</v>
      </c>
      <c r="C183" s="226"/>
      <c r="D183" s="226"/>
      <c r="E183" s="226"/>
      <c r="F183" s="259"/>
      <c r="G183" s="271"/>
      <c r="H183" s="257"/>
      <c r="I183" s="223"/>
      <c r="J183" s="256"/>
      <c r="K183" s="223"/>
      <c r="L183" s="225"/>
      <c r="M183" s="223"/>
    </row>
    <row r="184" spans="1:14" x14ac:dyDescent="0.35">
      <c r="A184" s="261">
        <v>7</v>
      </c>
      <c r="B184" s="262">
        <v>45739</v>
      </c>
      <c r="C184" s="263"/>
      <c r="D184" s="263"/>
      <c r="E184" s="268"/>
      <c r="F184" s="285"/>
      <c r="G184" s="289"/>
      <c r="H184" s="267"/>
      <c r="I184" s="236"/>
      <c r="J184" s="268"/>
      <c r="K184" s="236"/>
      <c r="L184" s="237"/>
      <c r="M184" s="236"/>
    </row>
    <row r="185" spans="1:14" s="250" customFormat="1" x14ac:dyDescent="0.35">
      <c r="A185" s="248">
        <v>1</v>
      </c>
      <c r="B185" s="272">
        <v>45740</v>
      </c>
      <c r="C185" s="240"/>
      <c r="D185" s="240"/>
      <c r="E185" s="240"/>
      <c r="F185" s="297"/>
      <c r="G185" s="298"/>
      <c r="H185" s="243"/>
      <c r="I185" s="211"/>
      <c r="J185" s="244"/>
      <c r="K185" s="223"/>
      <c r="L185" s="213"/>
      <c r="M185" s="211"/>
    </row>
    <row r="186" spans="1:14" s="250" customFormat="1" x14ac:dyDescent="0.35">
      <c r="A186" s="248">
        <v>2</v>
      </c>
      <c r="B186" s="272">
        <v>45741</v>
      </c>
      <c r="C186" s="240">
        <v>0.75</v>
      </c>
      <c r="D186" s="240">
        <v>0.875</v>
      </c>
      <c r="E186" s="240">
        <v>0.125</v>
      </c>
      <c r="F186" s="247" t="s">
        <v>37</v>
      </c>
      <c r="G186" s="247" t="s">
        <v>52</v>
      </c>
      <c r="H186" s="211" t="s">
        <v>48</v>
      </c>
      <c r="I186" s="243" t="s">
        <v>34</v>
      </c>
      <c r="J186" s="244" t="s">
        <v>157</v>
      </c>
      <c r="K186" s="223">
        <v>1</v>
      </c>
      <c r="L186" s="213"/>
      <c r="M186" s="211"/>
    </row>
    <row r="187" spans="1:14" s="250" customFormat="1" x14ac:dyDescent="0.35">
      <c r="A187" s="248">
        <v>3</v>
      </c>
      <c r="B187" s="272">
        <v>45742</v>
      </c>
      <c r="C187" s="240"/>
      <c r="D187" s="240"/>
      <c r="E187" s="240"/>
      <c r="F187" s="297"/>
      <c r="G187" s="298"/>
      <c r="H187" s="243"/>
      <c r="I187" s="211"/>
      <c r="J187" s="244"/>
      <c r="K187" s="223"/>
      <c r="L187" s="213"/>
      <c r="M187" s="211"/>
    </row>
    <row r="188" spans="1:14" s="250" customFormat="1" x14ac:dyDescent="0.35">
      <c r="A188" s="248">
        <v>4</v>
      </c>
      <c r="B188" s="276">
        <v>45743</v>
      </c>
      <c r="C188" s="226">
        <v>0.75</v>
      </c>
      <c r="D188" s="226">
        <v>0.875</v>
      </c>
      <c r="E188" s="226">
        <v>0.125</v>
      </c>
      <c r="F188" s="247" t="s">
        <v>160</v>
      </c>
      <c r="G188" s="247" t="s">
        <v>108</v>
      </c>
      <c r="H188" s="257" t="s">
        <v>325</v>
      </c>
      <c r="I188" s="223"/>
      <c r="J188" s="256" t="s">
        <v>157</v>
      </c>
      <c r="K188" s="211">
        <v>1</v>
      </c>
      <c r="L188" s="213"/>
      <c r="M188" s="211"/>
    </row>
    <row r="189" spans="1:14" s="250" customFormat="1" x14ac:dyDescent="0.35">
      <c r="A189" s="248">
        <v>5</v>
      </c>
      <c r="B189" s="292">
        <v>45744</v>
      </c>
      <c r="C189" s="226">
        <v>0.66666666666666663</v>
      </c>
      <c r="D189" s="226">
        <v>0.79166666666666663</v>
      </c>
      <c r="E189" s="226">
        <v>0.125</v>
      </c>
      <c r="F189" s="247" t="s">
        <v>160</v>
      </c>
      <c r="G189" s="247" t="s">
        <v>111</v>
      </c>
      <c r="H189" s="257" t="s">
        <v>112</v>
      </c>
      <c r="I189" s="223"/>
      <c r="J189" s="256"/>
      <c r="K189" s="223">
        <v>1</v>
      </c>
      <c r="L189" s="213"/>
      <c r="M189" s="223"/>
    </row>
    <row r="190" spans="1:14" s="250" customFormat="1" x14ac:dyDescent="0.35">
      <c r="A190" s="248">
        <v>6</v>
      </c>
      <c r="B190" s="272">
        <v>45745</v>
      </c>
      <c r="C190" s="240"/>
      <c r="D190" s="240"/>
      <c r="E190" s="240"/>
      <c r="F190" s="297"/>
      <c r="G190" s="298"/>
      <c r="H190" s="243"/>
      <c r="I190" s="211"/>
      <c r="J190" s="244"/>
      <c r="K190" s="211"/>
      <c r="L190" s="213"/>
      <c r="M190" s="211"/>
    </row>
    <row r="191" spans="1:14" x14ac:dyDescent="0.35">
      <c r="A191" s="261">
        <v>7</v>
      </c>
      <c r="B191" s="262">
        <v>45746</v>
      </c>
      <c r="C191" s="263"/>
      <c r="D191" s="263"/>
      <c r="E191" s="268"/>
      <c r="F191" s="285"/>
      <c r="G191" s="289"/>
      <c r="H191" s="267"/>
      <c r="I191" s="236"/>
      <c r="J191" s="268"/>
      <c r="K191" s="236"/>
      <c r="L191" s="237"/>
      <c r="M191" s="236"/>
      <c r="N191" s="250"/>
    </row>
    <row r="192" spans="1:14" s="250" customFormat="1" x14ac:dyDescent="0.35">
      <c r="A192" s="248">
        <v>1</v>
      </c>
      <c r="B192" s="239">
        <v>45747</v>
      </c>
      <c r="C192" s="240"/>
      <c r="D192" s="240"/>
      <c r="E192" s="240"/>
      <c r="F192" s="247"/>
      <c r="G192" s="247"/>
      <c r="H192" s="257"/>
      <c r="I192" s="223"/>
      <c r="J192" s="256"/>
      <c r="K192" s="223"/>
      <c r="L192" s="309">
        <f>SUM(K109:K192)</f>
        <v>36</v>
      </c>
      <c r="M192" s="223"/>
    </row>
    <row r="193" spans="1:14" s="250" customFormat="1" x14ac:dyDescent="0.35">
      <c r="A193" s="248">
        <v>2</v>
      </c>
      <c r="B193" s="239">
        <v>45748</v>
      </c>
      <c r="C193" s="240">
        <v>0.75</v>
      </c>
      <c r="D193" s="240">
        <v>0.875</v>
      </c>
      <c r="E193" s="240">
        <v>0.125</v>
      </c>
      <c r="F193" s="247" t="s">
        <v>160</v>
      </c>
      <c r="G193" s="247" t="s">
        <v>113</v>
      </c>
      <c r="H193" s="257" t="s">
        <v>325</v>
      </c>
      <c r="I193" s="223"/>
      <c r="J193" s="256" t="s">
        <v>157</v>
      </c>
      <c r="K193" s="223">
        <v>1</v>
      </c>
      <c r="L193" s="213"/>
      <c r="M193" s="211"/>
    </row>
    <row r="194" spans="1:14" s="250" customFormat="1" x14ac:dyDescent="0.35">
      <c r="A194" s="248">
        <v>3</v>
      </c>
      <c r="B194" s="239">
        <v>45749</v>
      </c>
      <c r="C194" s="240"/>
      <c r="D194" s="240"/>
      <c r="E194" s="240"/>
      <c r="F194" s="277"/>
      <c r="G194" s="277"/>
      <c r="H194" s="286"/>
      <c r="I194" s="225"/>
      <c r="J194" s="244"/>
      <c r="K194" s="223"/>
      <c r="L194" s="213"/>
      <c r="M194" s="211"/>
    </row>
    <row r="195" spans="1:14" s="250" customFormat="1" x14ac:dyDescent="0.35">
      <c r="A195" s="248">
        <v>4</v>
      </c>
      <c r="B195" s="239">
        <v>45750</v>
      </c>
      <c r="C195" s="226">
        <v>0.75</v>
      </c>
      <c r="D195" s="226">
        <v>0.875</v>
      </c>
      <c r="E195" s="226">
        <v>0.125</v>
      </c>
      <c r="F195" s="277" t="s">
        <v>132</v>
      </c>
      <c r="G195" s="277" t="s">
        <v>281</v>
      </c>
      <c r="H195" s="286" t="s">
        <v>129</v>
      </c>
      <c r="I195" s="225" t="s">
        <v>316</v>
      </c>
      <c r="J195" s="244"/>
      <c r="K195" s="211">
        <v>1</v>
      </c>
      <c r="L195" s="213"/>
      <c r="M195" s="223">
        <v>3</v>
      </c>
    </row>
    <row r="196" spans="1:14" s="250" customFormat="1" x14ac:dyDescent="0.35">
      <c r="A196" s="248">
        <v>5</v>
      </c>
      <c r="B196" s="239">
        <v>45751</v>
      </c>
      <c r="C196" s="226">
        <v>0.66666666666666663</v>
      </c>
      <c r="D196" s="226">
        <v>0.79166666666666663</v>
      </c>
      <c r="E196" s="226">
        <v>0.125</v>
      </c>
      <c r="F196" s="277" t="s">
        <v>132</v>
      </c>
      <c r="G196" s="277" t="s">
        <v>281</v>
      </c>
      <c r="H196" s="286" t="s">
        <v>129</v>
      </c>
      <c r="I196" s="225" t="s">
        <v>316</v>
      </c>
      <c r="J196" s="244"/>
      <c r="K196" s="223">
        <v>1</v>
      </c>
      <c r="L196" s="213"/>
      <c r="M196" s="223">
        <v>3</v>
      </c>
    </row>
    <row r="197" spans="1:14" s="250" customFormat="1" x14ac:dyDescent="0.35">
      <c r="A197" s="248">
        <v>6</v>
      </c>
      <c r="B197" s="239">
        <v>45752</v>
      </c>
      <c r="C197" s="240"/>
      <c r="D197" s="240"/>
      <c r="E197" s="240"/>
      <c r="F197" s="277"/>
      <c r="G197" s="277"/>
      <c r="H197" s="286"/>
      <c r="I197" s="225"/>
      <c r="J197" s="244"/>
      <c r="K197" s="211"/>
      <c r="L197" s="213"/>
      <c r="M197" s="211"/>
    </row>
    <row r="198" spans="1:14" x14ac:dyDescent="0.35">
      <c r="A198" s="261">
        <v>7</v>
      </c>
      <c r="B198" s="262">
        <v>45753</v>
      </c>
      <c r="C198" s="263"/>
      <c r="D198" s="263"/>
      <c r="E198" s="268"/>
      <c r="F198" s="285"/>
      <c r="G198" s="289"/>
      <c r="H198" s="267"/>
      <c r="I198" s="236"/>
      <c r="J198" s="268"/>
      <c r="K198" s="236"/>
      <c r="L198" s="237"/>
      <c r="M198" s="236"/>
    </row>
    <row r="199" spans="1:14" s="250" customFormat="1" x14ac:dyDescent="0.35">
      <c r="A199" s="248">
        <v>1</v>
      </c>
      <c r="B199" s="239">
        <v>45754</v>
      </c>
      <c r="C199" s="240"/>
      <c r="D199" s="240"/>
      <c r="E199" s="240"/>
      <c r="F199" s="297"/>
      <c r="G199" s="298"/>
      <c r="H199" s="243"/>
      <c r="I199" s="211"/>
      <c r="J199" s="244"/>
      <c r="K199" s="223"/>
      <c r="L199" s="213"/>
      <c r="M199" s="223"/>
    </row>
    <row r="200" spans="1:14" s="250" customFormat="1" x14ac:dyDescent="0.35">
      <c r="A200" s="248">
        <v>2</v>
      </c>
      <c r="B200" s="239">
        <v>45755</v>
      </c>
      <c r="C200" s="240">
        <v>0.75</v>
      </c>
      <c r="D200" s="240">
        <v>0.875</v>
      </c>
      <c r="E200" s="240">
        <v>0.125</v>
      </c>
      <c r="F200" s="247" t="s">
        <v>160</v>
      </c>
      <c r="G200" s="247" t="s">
        <v>114</v>
      </c>
      <c r="H200" s="257" t="s">
        <v>325</v>
      </c>
      <c r="I200" s="223"/>
      <c r="J200" s="256" t="s">
        <v>157</v>
      </c>
      <c r="K200" s="223">
        <v>1</v>
      </c>
      <c r="L200" s="213"/>
      <c r="M200" s="211"/>
    </row>
    <row r="201" spans="1:14" s="250" customFormat="1" x14ac:dyDescent="0.35">
      <c r="A201" s="248">
        <v>3</v>
      </c>
      <c r="B201" s="239">
        <v>45756</v>
      </c>
      <c r="C201" s="240"/>
      <c r="D201" s="240"/>
      <c r="E201" s="240"/>
      <c r="F201" s="249"/>
      <c r="G201" s="249"/>
      <c r="H201" s="243"/>
      <c r="I201" s="211"/>
      <c r="J201" s="244"/>
      <c r="K201" s="223"/>
      <c r="L201" s="213"/>
      <c r="M201" s="211"/>
    </row>
    <row r="202" spans="1:14" s="250" customFormat="1" x14ac:dyDescent="0.35">
      <c r="A202" s="238">
        <v>4</v>
      </c>
      <c r="B202" s="239">
        <v>45757</v>
      </c>
      <c r="C202" s="226">
        <v>0.75</v>
      </c>
      <c r="D202" s="226">
        <v>0.875</v>
      </c>
      <c r="E202" s="226">
        <v>0.125</v>
      </c>
      <c r="F202" s="247" t="s">
        <v>160</v>
      </c>
      <c r="G202" s="247" t="s">
        <v>115</v>
      </c>
      <c r="H202" s="223" t="s">
        <v>325</v>
      </c>
      <c r="I202" s="290"/>
      <c r="J202" s="290" t="s">
        <v>157</v>
      </c>
      <c r="K202" s="211">
        <v>1</v>
      </c>
      <c r="L202" s="213"/>
      <c r="M202" s="211"/>
    </row>
    <row r="203" spans="1:14" s="250" customFormat="1" x14ac:dyDescent="0.35">
      <c r="A203" s="248">
        <v>5</v>
      </c>
      <c r="B203" s="330">
        <v>45758</v>
      </c>
      <c r="C203" s="226">
        <v>0.66666666666666663</v>
      </c>
      <c r="D203" s="226">
        <v>0.79166666666666663</v>
      </c>
      <c r="E203" s="226">
        <v>0.125</v>
      </c>
      <c r="F203" s="247" t="s">
        <v>160</v>
      </c>
      <c r="G203" s="247" t="s">
        <v>116</v>
      </c>
      <c r="H203" s="257" t="s">
        <v>325</v>
      </c>
      <c r="I203" s="290"/>
      <c r="J203" s="290" t="s">
        <v>157</v>
      </c>
      <c r="K203" s="223">
        <v>1</v>
      </c>
      <c r="L203" s="213"/>
      <c r="M203" s="223"/>
    </row>
    <row r="204" spans="1:14" s="250" customFormat="1" x14ac:dyDescent="0.35">
      <c r="A204" s="248">
        <v>6</v>
      </c>
      <c r="B204" s="239">
        <v>45759</v>
      </c>
      <c r="C204" s="240"/>
      <c r="D204" s="240"/>
      <c r="E204" s="240"/>
      <c r="F204" s="297"/>
      <c r="G204" s="298"/>
      <c r="H204" s="223"/>
      <c r="I204" s="257"/>
      <c r="J204" s="244"/>
      <c r="K204" s="211"/>
      <c r="L204" s="213"/>
      <c r="M204" s="211"/>
    </row>
    <row r="205" spans="1:14" x14ac:dyDescent="0.35">
      <c r="A205" s="261">
        <v>7</v>
      </c>
      <c r="B205" s="262">
        <v>45760</v>
      </c>
      <c r="C205" s="263"/>
      <c r="D205" s="263"/>
      <c r="E205" s="268"/>
      <c r="F205" s="285"/>
      <c r="G205" s="289"/>
      <c r="H205" s="267"/>
      <c r="I205" s="236"/>
      <c r="J205" s="268"/>
      <c r="K205" s="236"/>
      <c r="L205" s="237"/>
      <c r="M205" s="236"/>
    </row>
    <row r="206" spans="1:14" s="250" customFormat="1" x14ac:dyDescent="0.35">
      <c r="A206" s="331">
        <v>1</v>
      </c>
      <c r="B206" s="312">
        <v>45761</v>
      </c>
      <c r="C206" s="313"/>
      <c r="D206" s="313"/>
      <c r="E206" s="313"/>
      <c r="F206" s="321"/>
      <c r="G206" s="321"/>
      <c r="H206" s="322"/>
      <c r="I206" s="322"/>
      <c r="J206" s="313"/>
      <c r="K206" s="322"/>
      <c r="L206" s="323"/>
      <c r="M206" s="322"/>
      <c r="N206" s="250" t="s">
        <v>158</v>
      </c>
    </row>
    <row r="207" spans="1:14" x14ac:dyDescent="0.35">
      <c r="A207" s="331">
        <v>2</v>
      </c>
      <c r="B207" s="312">
        <v>45762</v>
      </c>
      <c r="C207" s="313"/>
      <c r="D207" s="313"/>
      <c r="E207" s="313"/>
      <c r="F207" s="321"/>
      <c r="G207" s="321"/>
      <c r="H207" s="322"/>
      <c r="I207" s="322"/>
      <c r="J207" s="313"/>
      <c r="K207" s="322"/>
      <c r="L207" s="323"/>
      <c r="M207" s="322"/>
      <c r="N207" t="s">
        <v>158</v>
      </c>
    </row>
    <row r="208" spans="1:14" x14ac:dyDescent="0.35">
      <c r="A208" s="331">
        <v>3</v>
      </c>
      <c r="B208" s="312">
        <v>45763</v>
      </c>
      <c r="C208" s="313"/>
      <c r="D208" s="313"/>
      <c r="E208" s="313"/>
      <c r="F208" s="321"/>
      <c r="G208" s="321"/>
      <c r="H208" s="322"/>
      <c r="I208" s="322"/>
      <c r="J208" s="313"/>
      <c r="K208" s="322"/>
      <c r="L208" s="323"/>
      <c r="M208" s="322"/>
      <c r="N208" t="s">
        <v>158</v>
      </c>
    </row>
    <row r="209" spans="1:14" x14ac:dyDescent="0.35">
      <c r="A209" s="331">
        <v>4</v>
      </c>
      <c r="B209" s="320">
        <v>45764</v>
      </c>
      <c r="C209" s="313"/>
      <c r="D209" s="313"/>
      <c r="E209" s="313"/>
      <c r="F209" s="321"/>
      <c r="G209" s="321"/>
      <c r="H209" s="322"/>
      <c r="I209" s="322"/>
      <c r="J209" s="313"/>
      <c r="K209" s="322"/>
      <c r="L209" s="323"/>
      <c r="M209" s="322"/>
      <c r="N209" t="s">
        <v>158</v>
      </c>
    </row>
    <row r="210" spans="1:14" x14ac:dyDescent="0.35">
      <c r="A210" s="331">
        <v>5</v>
      </c>
      <c r="B210" s="320">
        <v>45765</v>
      </c>
      <c r="C210" s="313"/>
      <c r="D210" s="313"/>
      <c r="E210" s="313"/>
      <c r="F210" s="321"/>
      <c r="G210" s="321"/>
      <c r="H210" s="322"/>
      <c r="I210" s="322"/>
      <c r="J210" s="313"/>
      <c r="K210" s="322"/>
      <c r="L210" s="323"/>
      <c r="M210" s="322"/>
      <c r="N210" t="s">
        <v>158</v>
      </c>
    </row>
    <row r="211" spans="1:14" x14ac:dyDescent="0.35">
      <c r="A211" s="331">
        <v>6</v>
      </c>
      <c r="B211" s="312">
        <v>45766</v>
      </c>
      <c r="C211" s="313"/>
      <c r="D211" s="313"/>
      <c r="E211" s="313"/>
      <c r="F211" s="321"/>
      <c r="G211" s="321"/>
      <c r="H211" s="322"/>
      <c r="I211" s="322"/>
      <c r="J211" s="313"/>
      <c r="K211" s="322"/>
      <c r="L211" s="323"/>
      <c r="M211" s="322"/>
      <c r="N211" t="s">
        <v>158</v>
      </c>
    </row>
    <row r="212" spans="1:14" x14ac:dyDescent="0.35">
      <c r="A212" s="332">
        <v>7</v>
      </c>
      <c r="B212" s="262">
        <v>45767</v>
      </c>
      <c r="C212" s="263"/>
      <c r="D212" s="263"/>
      <c r="E212" s="268"/>
      <c r="F212" s="285"/>
      <c r="G212" s="289"/>
      <c r="H212" s="267"/>
      <c r="I212" s="236"/>
      <c r="J212" s="268"/>
      <c r="K212" s="236"/>
      <c r="L212" s="237"/>
      <c r="M212" s="236"/>
    </row>
    <row r="213" spans="1:14" x14ac:dyDescent="0.35">
      <c r="A213" s="331">
        <v>1</v>
      </c>
      <c r="B213" s="320">
        <v>45768</v>
      </c>
      <c r="C213" s="313"/>
      <c r="D213" s="313"/>
      <c r="E213" s="313"/>
      <c r="F213" s="321"/>
      <c r="G213" s="321"/>
      <c r="H213" s="322"/>
      <c r="I213" s="322"/>
      <c r="J213" s="313"/>
      <c r="K213" s="322"/>
      <c r="L213" s="323"/>
      <c r="M213" s="322"/>
      <c r="N213" t="s">
        <v>158</v>
      </c>
    </row>
    <row r="214" spans="1:14" x14ac:dyDescent="0.35">
      <c r="A214" s="251">
        <v>2</v>
      </c>
      <c r="B214" s="269">
        <v>45769</v>
      </c>
      <c r="C214" s="240">
        <v>0.75</v>
      </c>
      <c r="D214" s="240">
        <v>0.875</v>
      </c>
      <c r="E214" s="240">
        <v>0.125</v>
      </c>
      <c r="F214" s="247" t="s">
        <v>92</v>
      </c>
      <c r="G214" s="247" t="s">
        <v>104</v>
      </c>
      <c r="H214" s="223" t="s">
        <v>94</v>
      </c>
      <c r="I214" s="257"/>
      <c r="J214" s="290"/>
      <c r="K214" s="223">
        <v>1</v>
      </c>
      <c r="L214" s="291"/>
      <c r="M214" s="290"/>
    </row>
    <row r="215" spans="1:14" x14ac:dyDescent="0.35">
      <c r="A215" s="251">
        <v>3</v>
      </c>
      <c r="B215" s="269">
        <v>45770</v>
      </c>
      <c r="C215" s="240"/>
      <c r="D215" s="240"/>
      <c r="E215" s="240"/>
      <c r="F215" s="247"/>
      <c r="G215" s="247"/>
      <c r="H215" s="223"/>
      <c r="I215" s="257"/>
      <c r="J215" s="290"/>
      <c r="K215" s="223"/>
      <c r="L215" s="291"/>
      <c r="M215" s="290"/>
    </row>
    <row r="216" spans="1:14" x14ac:dyDescent="0.35">
      <c r="A216" s="333">
        <v>4</v>
      </c>
      <c r="B216" s="269">
        <v>45771</v>
      </c>
      <c r="C216" s="226">
        <v>0.75</v>
      </c>
      <c r="D216" s="226">
        <v>0.875</v>
      </c>
      <c r="E216" s="226">
        <v>0.125</v>
      </c>
      <c r="F216" s="247" t="s">
        <v>92</v>
      </c>
      <c r="G216" s="247" t="s">
        <v>282</v>
      </c>
      <c r="H216" s="223" t="s">
        <v>94</v>
      </c>
      <c r="I216" s="257"/>
      <c r="J216" s="290"/>
      <c r="K216" s="211">
        <v>1</v>
      </c>
      <c r="L216" s="291"/>
      <c r="M216" s="290"/>
    </row>
    <row r="217" spans="1:14" x14ac:dyDescent="0.35">
      <c r="A217" s="251">
        <v>5</v>
      </c>
      <c r="B217" s="269">
        <v>45772</v>
      </c>
      <c r="C217" s="226">
        <v>0.66666666666666663</v>
      </c>
      <c r="D217" s="226">
        <v>0.79166666666666663</v>
      </c>
      <c r="E217" s="226">
        <v>0.125</v>
      </c>
      <c r="F217" s="277" t="s">
        <v>124</v>
      </c>
      <c r="G217" s="277" t="s">
        <v>284</v>
      </c>
      <c r="H217" s="286" t="s">
        <v>129</v>
      </c>
      <c r="I217" s="225" t="s">
        <v>316</v>
      </c>
      <c r="J217" s="290"/>
      <c r="K217" s="223">
        <v>1</v>
      </c>
      <c r="L217" s="291"/>
      <c r="M217" s="223">
        <v>3</v>
      </c>
    </row>
    <row r="218" spans="1:14" x14ac:dyDescent="0.35">
      <c r="A218" s="251">
        <v>6</v>
      </c>
      <c r="B218" s="269">
        <v>45773</v>
      </c>
      <c r="C218" s="226"/>
      <c r="D218" s="226"/>
      <c r="E218" s="226"/>
      <c r="F218" s="334"/>
      <c r="G218" s="334"/>
      <c r="H218" s="290"/>
      <c r="I218" s="290"/>
      <c r="J218" s="290"/>
      <c r="K218" s="290"/>
      <c r="L218" s="291"/>
      <c r="M218" s="290"/>
    </row>
    <row r="219" spans="1:14" x14ac:dyDescent="0.35">
      <c r="A219" s="261">
        <v>7</v>
      </c>
      <c r="B219" s="310">
        <v>45774</v>
      </c>
      <c r="C219" s="263"/>
      <c r="D219" s="263"/>
      <c r="E219" s="268"/>
      <c r="F219" s="285"/>
      <c r="G219" s="289"/>
      <c r="H219" s="267"/>
      <c r="I219" s="236"/>
      <c r="J219" s="268"/>
      <c r="K219" s="236"/>
      <c r="L219" s="237"/>
      <c r="M219" s="236"/>
    </row>
    <row r="220" spans="1:14" s="250" customFormat="1" x14ac:dyDescent="0.35">
      <c r="A220" s="248">
        <v>1</v>
      </c>
      <c r="B220" s="239">
        <v>45775</v>
      </c>
      <c r="C220" s="240"/>
      <c r="D220" s="240"/>
      <c r="E220" s="240"/>
      <c r="F220" s="298"/>
      <c r="G220" s="335"/>
      <c r="H220" s="243"/>
      <c r="I220" s="211"/>
      <c r="J220" s="244"/>
      <c r="K220" s="211"/>
      <c r="L220" s="213"/>
      <c r="M220" s="211"/>
    </row>
    <row r="221" spans="1:14" x14ac:dyDescent="0.35">
      <c r="A221" s="251">
        <v>2</v>
      </c>
      <c r="B221" s="239">
        <v>45776</v>
      </c>
      <c r="C221" s="226">
        <v>0.75</v>
      </c>
      <c r="D221" s="226">
        <v>0.875</v>
      </c>
      <c r="E221" s="226">
        <v>0.125</v>
      </c>
      <c r="F221" s="247" t="s">
        <v>92</v>
      </c>
      <c r="G221" s="247" t="s">
        <v>283</v>
      </c>
      <c r="H221" s="257" t="s">
        <v>101</v>
      </c>
      <c r="I221" s="223" t="s">
        <v>102</v>
      </c>
      <c r="J221" s="244"/>
      <c r="K221" s="223">
        <v>1</v>
      </c>
      <c r="L221" s="225"/>
      <c r="M221" s="223"/>
    </row>
    <row r="222" spans="1:14" s="250" customFormat="1" x14ac:dyDescent="0.35">
      <c r="A222" s="248">
        <v>3</v>
      </c>
      <c r="B222" s="239">
        <v>45777</v>
      </c>
      <c r="C222" s="240"/>
      <c r="D222" s="240"/>
      <c r="E222" s="240"/>
      <c r="F222" s="298"/>
      <c r="G222" s="335"/>
      <c r="H222" s="243"/>
      <c r="I222" s="211"/>
      <c r="J222" s="244"/>
      <c r="K222" s="211"/>
      <c r="L222" s="213"/>
      <c r="M222" s="211"/>
    </row>
    <row r="223" spans="1:14" x14ac:dyDescent="0.35">
      <c r="A223" s="299">
        <v>4</v>
      </c>
      <c r="B223" s="300">
        <v>45778</v>
      </c>
      <c r="C223" s="336"/>
      <c r="D223" s="336"/>
      <c r="E223" s="336"/>
      <c r="F223" s="337"/>
      <c r="G223" s="337"/>
      <c r="H223" s="338"/>
      <c r="I223" s="338"/>
      <c r="J223" s="336"/>
      <c r="K223" s="338"/>
      <c r="L223" s="339"/>
      <c r="M223" s="338"/>
      <c r="N223" t="s">
        <v>155</v>
      </c>
    </row>
    <row r="224" spans="1:14" x14ac:dyDescent="0.35">
      <c r="A224" s="251">
        <v>5</v>
      </c>
      <c r="B224" s="239">
        <v>45779</v>
      </c>
      <c r="C224" s="226"/>
      <c r="D224" s="226"/>
      <c r="E224" s="226"/>
      <c r="F224" s="340"/>
      <c r="G224" s="341" t="s">
        <v>326</v>
      </c>
      <c r="H224" s="342"/>
      <c r="I224" s="342"/>
      <c r="J224" s="343"/>
      <c r="K224" s="342"/>
      <c r="L224" s="344"/>
      <c r="M224" s="342"/>
    </row>
    <row r="225" spans="1:14" x14ac:dyDescent="0.35">
      <c r="A225" s="251">
        <v>6</v>
      </c>
      <c r="B225" s="239">
        <v>45780</v>
      </c>
      <c r="C225" s="226"/>
      <c r="D225" s="226"/>
      <c r="E225" s="226"/>
      <c r="F225" s="298"/>
      <c r="G225" s="335"/>
      <c r="H225" s="243"/>
      <c r="I225" s="211"/>
      <c r="J225" s="256"/>
      <c r="K225" s="223"/>
      <c r="L225" s="225"/>
      <c r="M225" s="223"/>
    </row>
    <row r="226" spans="1:14" x14ac:dyDescent="0.35">
      <c r="A226" s="261">
        <v>7</v>
      </c>
      <c r="B226" s="262">
        <v>45781</v>
      </c>
      <c r="C226" s="263"/>
      <c r="D226" s="263"/>
      <c r="E226" s="268"/>
      <c r="F226" s="285"/>
      <c r="G226" s="289"/>
      <c r="H226" s="267"/>
      <c r="I226" s="236"/>
      <c r="J226" s="268"/>
      <c r="K226" s="236"/>
      <c r="L226" s="237"/>
      <c r="M226" s="236"/>
    </row>
    <row r="227" spans="1:14" x14ac:dyDescent="0.35">
      <c r="A227" s="251">
        <v>1</v>
      </c>
      <c r="B227" s="269">
        <v>45782</v>
      </c>
      <c r="C227" s="226"/>
      <c r="D227" s="226"/>
      <c r="E227" s="226"/>
      <c r="F227" s="271"/>
      <c r="G227" s="247"/>
      <c r="H227" s="223"/>
      <c r="I227" s="223"/>
      <c r="J227" s="256"/>
      <c r="K227" s="223"/>
      <c r="L227" s="225"/>
      <c r="M227" s="223"/>
    </row>
    <row r="228" spans="1:14" x14ac:dyDescent="0.35">
      <c r="A228" s="251">
        <v>2</v>
      </c>
      <c r="B228" s="276">
        <v>45783</v>
      </c>
      <c r="C228" s="240">
        <v>0.75</v>
      </c>
      <c r="D228" s="240">
        <v>0.875</v>
      </c>
      <c r="E228" s="240">
        <v>0.125</v>
      </c>
      <c r="F228" s="247" t="s">
        <v>54</v>
      </c>
      <c r="G228" s="247" t="s">
        <v>55</v>
      </c>
      <c r="H228" s="223" t="s">
        <v>316</v>
      </c>
      <c r="I228" s="223"/>
      <c r="J228" s="256"/>
      <c r="K228" s="223">
        <v>1</v>
      </c>
      <c r="L228" s="225"/>
      <c r="M228" s="223"/>
    </row>
    <row r="229" spans="1:14" x14ac:dyDescent="0.35">
      <c r="A229" s="251">
        <v>3</v>
      </c>
      <c r="B229" s="292">
        <v>45784</v>
      </c>
      <c r="C229" s="252"/>
      <c r="D229" s="252"/>
      <c r="E229" s="252"/>
      <c r="F229" s="253" t="s">
        <v>317</v>
      </c>
      <c r="G229" s="329" t="s">
        <v>161</v>
      </c>
      <c r="H229" s="329"/>
      <c r="I229" s="329"/>
      <c r="J229" s="329"/>
      <c r="K229" s="223"/>
      <c r="L229" s="225"/>
      <c r="M229" s="223"/>
      <c r="N229" t="s">
        <v>161</v>
      </c>
    </row>
    <row r="230" spans="1:14" x14ac:dyDescent="0.35">
      <c r="A230" s="251">
        <v>4</v>
      </c>
      <c r="B230" s="269">
        <v>45785</v>
      </c>
      <c r="C230" s="226">
        <v>0.75</v>
      </c>
      <c r="D230" s="226">
        <v>0.875</v>
      </c>
      <c r="E230" s="226">
        <v>0.125</v>
      </c>
      <c r="F230" s="247" t="s">
        <v>54</v>
      </c>
      <c r="G230" s="247" t="s">
        <v>57</v>
      </c>
      <c r="H230" s="257" t="s">
        <v>316</v>
      </c>
      <c r="I230" s="259"/>
      <c r="J230" s="259"/>
      <c r="K230" s="211">
        <v>1</v>
      </c>
      <c r="L230" s="225"/>
      <c r="M230" s="223"/>
      <c r="N230" t="s">
        <v>161</v>
      </c>
    </row>
    <row r="231" spans="1:14" x14ac:dyDescent="0.35">
      <c r="A231" s="251">
        <v>5</v>
      </c>
      <c r="B231" s="269">
        <v>45786</v>
      </c>
      <c r="C231" s="226">
        <v>0.66666666666666663</v>
      </c>
      <c r="D231" s="226">
        <v>0.79166666666666663</v>
      </c>
      <c r="E231" s="226">
        <v>0.125</v>
      </c>
      <c r="F231" s="247" t="s">
        <v>54</v>
      </c>
      <c r="G231" s="247" t="s">
        <v>58</v>
      </c>
      <c r="H231" s="223" t="s">
        <v>316</v>
      </c>
      <c r="I231" s="259"/>
      <c r="J231" s="259"/>
      <c r="K231" s="223">
        <v>1</v>
      </c>
      <c r="L231" s="225"/>
      <c r="M231" s="223"/>
      <c r="N231" t="s">
        <v>161</v>
      </c>
    </row>
    <row r="232" spans="1:14" x14ac:dyDescent="0.35">
      <c r="A232" s="251">
        <v>6</v>
      </c>
      <c r="B232" s="269">
        <v>45787</v>
      </c>
      <c r="C232" s="226"/>
      <c r="D232" s="226"/>
      <c r="E232" s="226"/>
      <c r="F232" s="259"/>
      <c r="G232" s="271"/>
      <c r="H232" s="270"/>
      <c r="I232" s="223"/>
      <c r="J232" s="256"/>
      <c r="K232" s="223"/>
      <c r="L232" s="225"/>
      <c r="M232" s="223"/>
    </row>
    <row r="233" spans="1:14" x14ac:dyDescent="0.35">
      <c r="A233" s="261">
        <v>7</v>
      </c>
      <c r="B233" s="262">
        <v>45788</v>
      </c>
      <c r="C233" s="263"/>
      <c r="D233" s="263"/>
      <c r="E233" s="268"/>
      <c r="F233" s="285"/>
      <c r="G233" s="289"/>
      <c r="H233" s="345"/>
      <c r="I233" s="236"/>
      <c r="J233" s="268"/>
      <c r="K233" s="236"/>
      <c r="L233" s="237"/>
      <c r="M233" s="236"/>
    </row>
    <row r="234" spans="1:14" x14ac:dyDescent="0.35">
      <c r="A234" s="251">
        <v>1</v>
      </c>
      <c r="B234" s="269">
        <v>45789</v>
      </c>
      <c r="C234" s="226"/>
      <c r="D234" s="226"/>
      <c r="E234" s="226"/>
      <c r="F234" s="271"/>
      <c r="G234" s="247"/>
      <c r="H234" s="223"/>
      <c r="I234" s="223"/>
      <c r="J234" s="256"/>
      <c r="K234" s="223"/>
      <c r="L234" s="225"/>
      <c r="M234" s="223"/>
      <c r="N234" s="346"/>
    </row>
    <row r="235" spans="1:14" x14ac:dyDescent="0.35">
      <c r="A235" s="251">
        <v>2</v>
      </c>
      <c r="B235" s="269">
        <v>45790</v>
      </c>
      <c r="C235" s="240">
        <v>0.75</v>
      </c>
      <c r="D235" s="240">
        <v>0.875</v>
      </c>
      <c r="E235" s="240">
        <v>0.125</v>
      </c>
      <c r="F235" s="247" t="s">
        <v>54</v>
      </c>
      <c r="G235" s="247" t="s">
        <v>286</v>
      </c>
      <c r="H235" s="223" t="s">
        <v>41</v>
      </c>
      <c r="I235" s="223" t="s">
        <v>43</v>
      </c>
      <c r="J235" s="256" t="s">
        <v>157</v>
      </c>
      <c r="K235" s="223">
        <v>1</v>
      </c>
      <c r="L235" s="225"/>
      <c r="M235" s="223"/>
      <c r="N235" s="346"/>
    </row>
    <row r="236" spans="1:14" x14ac:dyDescent="0.35">
      <c r="A236" s="251">
        <v>3</v>
      </c>
      <c r="B236" s="269">
        <v>45791</v>
      </c>
      <c r="C236" s="240"/>
      <c r="D236" s="240"/>
      <c r="E236" s="240"/>
      <c r="F236" s="271"/>
      <c r="G236" s="247"/>
      <c r="H236" s="223"/>
      <c r="I236" s="223"/>
      <c r="J236" s="256"/>
      <c r="K236" s="223"/>
      <c r="L236" s="225"/>
      <c r="M236" s="223"/>
      <c r="N236" s="346"/>
    </row>
    <row r="237" spans="1:14" x14ac:dyDescent="0.35">
      <c r="A237" s="251">
        <v>4</v>
      </c>
      <c r="B237" s="269">
        <v>45792</v>
      </c>
      <c r="C237" s="226">
        <v>0.75</v>
      </c>
      <c r="D237" s="226">
        <v>0.875</v>
      </c>
      <c r="E237" s="226">
        <v>0.125</v>
      </c>
      <c r="F237" s="247" t="s">
        <v>54</v>
      </c>
      <c r="G237" s="247" t="s">
        <v>60</v>
      </c>
      <c r="H237" s="223" t="s">
        <v>61</v>
      </c>
      <c r="I237" s="223"/>
      <c r="J237" s="256" t="s">
        <v>157</v>
      </c>
      <c r="K237" s="211">
        <v>1</v>
      </c>
      <c r="L237" s="225"/>
      <c r="M237" s="223"/>
      <c r="N237" s="346"/>
    </row>
    <row r="238" spans="1:14" x14ac:dyDescent="0.35">
      <c r="A238" s="251">
        <v>5</v>
      </c>
      <c r="B238" s="269">
        <v>45793</v>
      </c>
      <c r="C238" s="226">
        <v>0.66666666666666663</v>
      </c>
      <c r="D238" s="226">
        <v>0.79166666666666663</v>
      </c>
      <c r="E238" s="226">
        <v>0.125</v>
      </c>
      <c r="F238" s="277" t="s">
        <v>124</v>
      </c>
      <c r="G238" s="277" t="s">
        <v>285</v>
      </c>
      <c r="H238" s="286" t="s">
        <v>129</v>
      </c>
      <c r="I238" s="225" t="s">
        <v>316</v>
      </c>
      <c r="J238" s="256"/>
      <c r="K238" s="223">
        <v>1</v>
      </c>
      <c r="L238" s="225"/>
      <c r="M238" s="223">
        <v>3</v>
      </c>
      <c r="N238" s="346"/>
    </row>
    <row r="239" spans="1:14" x14ac:dyDescent="0.35">
      <c r="A239" s="251">
        <v>6</v>
      </c>
      <c r="B239" s="269">
        <v>45794</v>
      </c>
      <c r="C239" s="226"/>
      <c r="D239" s="226"/>
      <c r="E239" s="226"/>
      <c r="F239" s="271"/>
      <c r="G239" s="247"/>
      <c r="H239" s="223"/>
      <c r="I239" s="223"/>
      <c r="J239" s="256"/>
      <c r="K239" s="223"/>
      <c r="L239" s="225"/>
      <c r="M239" s="223"/>
      <c r="N239" s="346"/>
    </row>
    <row r="240" spans="1:14" x14ac:dyDescent="0.35">
      <c r="A240" s="261">
        <v>7</v>
      </c>
      <c r="B240" s="262">
        <v>45795</v>
      </c>
      <c r="C240" s="263"/>
      <c r="D240" s="263"/>
      <c r="E240" s="268"/>
      <c r="F240" s="285"/>
      <c r="G240" s="289"/>
      <c r="H240" s="267"/>
      <c r="I240" s="236"/>
      <c r="J240" s="268"/>
      <c r="K240" s="236"/>
      <c r="L240" s="237"/>
      <c r="M240" s="236"/>
      <c r="N240" s="346"/>
    </row>
    <row r="241" spans="1:14" x14ac:dyDescent="0.35">
      <c r="A241" s="248">
        <v>1</v>
      </c>
      <c r="B241" s="239">
        <v>45796</v>
      </c>
      <c r="C241" s="240"/>
      <c r="D241" s="240"/>
      <c r="E241" s="240"/>
      <c r="F241" s="298"/>
      <c r="G241" s="298"/>
      <c r="H241" s="243"/>
      <c r="I241" s="211"/>
      <c r="J241" s="244"/>
      <c r="K241" s="223"/>
      <c r="L241" s="213"/>
      <c r="M241" s="211"/>
      <c r="N241" s="346"/>
    </row>
    <row r="242" spans="1:14" x14ac:dyDescent="0.35">
      <c r="A242" s="251">
        <v>2</v>
      </c>
      <c r="B242" s="239">
        <v>45797</v>
      </c>
      <c r="C242" s="240">
        <v>0.75</v>
      </c>
      <c r="D242" s="240">
        <v>0.875</v>
      </c>
      <c r="E242" s="240">
        <v>0.125</v>
      </c>
      <c r="F242" s="247" t="s">
        <v>54</v>
      </c>
      <c r="G242" s="247" t="s">
        <v>62</v>
      </c>
      <c r="H242" s="223" t="s">
        <v>61</v>
      </c>
      <c r="I242" s="223"/>
      <c r="J242" s="256" t="s">
        <v>157</v>
      </c>
      <c r="K242" s="223">
        <v>1</v>
      </c>
      <c r="L242" s="225"/>
      <c r="M242" s="223"/>
    </row>
    <row r="243" spans="1:14" x14ac:dyDescent="0.35">
      <c r="A243" s="251">
        <v>3</v>
      </c>
      <c r="B243" s="239">
        <v>45798</v>
      </c>
      <c r="C243" s="240"/>
      <c r="D243" s="240"/>
      <c r="E243" s="240"/>
      <c r="F243" s="271"/>
      <c r="G243" s="247"/>
      <c r="H243" s="223"/>
      <c r="I243" s="211"/>
      <c r="J243" s="256"/>
      <c r="K243" s="223"/>
      <c r="L243" s="225"/>
      <c r="M243" s="223"/>
    </row>
    <row r="244" spans="1:14" x14ac:dyDescent="0.35">
      <c r="A244" s="251">
        <v>4</v>
      </c>
      <c r="B244" s="239">
        <v>45799</v>
      </c>
      <c r="C244" s="226">
        <v>0.75</v>
      </c>
      <c r="D244" s="226">
        <v>0.875</v>
      </c>
      <c r="E244" s="226">
        <v>0.125</v>
      </c>
      <c r="F244" s="247" t="s">
        <v>54</v>
      </c>
      <c r="G244" s="247" t="s">
        <v>63</v>
      </c>
      <c r="H244" s="223" t="s">
        <v>61</v>
      </c>
      <c r="I244" s="211"/>
      <c r="J244" s="256" t="s">
        <v>157</v>
      </c>
      <c r="K244" s="211">
        <v>1</v>
      </c>
      <c r="L244" s="225"/>
      <c r="M244" s="223"/>
    </row>
    <row r="245" spans="1:14" x14ac:dyDescent="0.35">
      <c r="A245" s="251">
        <v>5</v>
      </c>
      <c r="B245" s="239">
        <v>45800</v>
      </c>
      <c r="C245" s="226">
        <v>0.66666666666666663</v>
      </c>
      <c r="D245" s="226">
        <v>0.79166666666666663</v>
      </c>
      <c r="E245" s="226">
        <v>0.125</v>
      </c>
      <c r="F245" s="247" t="s">
        <v>54</v>
      </c>
      <c r="G245" s="247" t="s">
        <v>64</v>
      </c>
      <c r="H245" s="270" t="s">
        <v>316</v>
      </c>
      <c r="I245" s="211"/>
      <c r="J245" s="256"/>
      <c r="K245" s="223">
        <v>1</v>
      </c>
      <c r="L245" s="225"/>
      <c r="M245" s="223"/>
    </row>
    <row r="246" spans="1:14" x14ac:dyDescent="0.35">
      <c r="A246" s="251">
        <v>6</v>
      </c>
      <c r="B246" s="239">
        <v>45801</v>
      </c>
      <c r="C246" s="226"/>
      <c r="D246" s="226"/>
      <c r="E246" s="226"/>
      <c r="F246" s="259"/>
      <c r="G246" s="271"/>
      <c r="H246" s="257"/>
      <c r="I246" s="223"/>
      <c r="J246" s="256"/>
      <c r="K246" s="223"/>
      <c r="L246" s="225"/>
      <c r="M246" s="223"/>
    </row>
    <row r="247" spans="1:14" x14ac:dyDescent="0.35">
      <c r="A247" s="261">
        <v>7</v>
      </c>
      <c r="B247" s="262">
        <v>45802</v>
      </c>
      <c r="C247" s="263"/>
      <c r="D247" s="263"/>
      <c r="E247" s="268"/>
      <c r="F247" s="285"/>
      <c r="G247" s="289"/>
      <c r="H247" s="267"/>
      <c r="I247" s="236"/>
      <c r="J247" s="268"/>
      <c r="K247" s="236"/>
      <c r="L247" s="237"/>
      <c r="M247" s="236"/>
    </row>
    <row r="248" spans="1:14" s="250" customFormat="1" x14ac:dyDescent="0.35">
      <c r="A248" s="248">
        <v>1</v>
      </c>
      <c r="B248" s="239">
        <v>45803</v>
      </c>
      <c r="C248" s="240"/>
      <c r="D248" s="240"/>
      <c r="E248" s="240"/>
      <c r="F248" s="259"/>
      <c r="G248" s="271"/>
      <c r="H248" s="257"/>
      <c r="I248" s="223"/>
      <c r="J248" s="256"/>
      <c r="K248" s="223"/>
      <c r="L248" s="213"/>
      <c r="M248" s="211"/>
    </row>
    <row r="249" spans="1:14" x14ac:dyDescent="0.35">
      <c r="A249" s="251">
        <v>2</v>
      </c>
      <c r="B249" s="239">
        <v>45804</v>
      </c>
      <c r="C249" s="240">
        <v>0.75</v>
      </c>
      <c r="D249" s="240">
        <v>0.875</v>
      </c>
      <c r="E249" s="240">
        <v>0.125</v>
      </c>
      <c r="F249" s="247" t="s">
        <v>160</v>
      </c>
      <c r="G249" s="247" t="s">
        <v>118</v>
      </c>
      <c r="H249" s="257" t="s">
        <v>119</v>
      </c>
      <c r="I249" s="290"/>
      <c r="J249" s="290" t="s">
        <v>157</v>
      </c>
      <c r="K249" s="223">
        <v>1</v>
      </c>
      <c r="L249" s="291"/>
      <c r="M249" s="290"/>
    </row>
    <row r="250" spans="1:14" x14ac:dyDescent="0.35">
      <c r="A250" s="251">
        <v>3</v>
      </c>
      <c r="B250" s="239">
        <v>45805</v>
      </c>
      <c r="C250" s="240"/>
      <c r="D250" s="240"/>
      <c r="E250" s="240"/>
      <c r="F250" s="259"/>
      <c r="G250" s="271"/>
      <c r="H250" s="257"/>
      <c r="I250" s="223"/>
      <c r="J250" s="256"/>
      <c r="K250" s="223"/>
      <c r="L250" s="291"/>
      <c r="M250" s="290"/>
    </row>
    <row r="251" spans="1:14" x14ac:dyDescent="0.35">
      <c r="A251" s="251">
        <v>4</v>
      </c>
      <c r="B251" s="239">
        <v>45806</v>
      </c>
      <c r="C251" s="226">
        <v>0.75</v>
      </c>
      <c r="D251" s="226">
        <v>0.875</v>
      </c>
      <c r="E251" s="226">
        <v>0.125</v>
      </c>
      <c r="F251" s="247" t="s">
        <v>160</v>
      </c>
      <c r="G251" s="247" t="s">
        <v>287</v>
      </c>
      <c r="H251" s="257" t="s">
        <v>119</v>
      </c>
      <c r="I251" s="290"/>
      <c r="J251" s="290" t="s">
        <v>157</v>
      </c>
      <c r="K251" s="211">
        <v>1</v>
      </c>
      <c r="L251" s="291"/>
      <c r="M251" s="290"/>
    </row>
    <row r="252" spans="1:14" x14ac:dyDescent="0.35">
      <c r="A252" s="251">
        <v>5</v>
      </c>
      <c r="B252" s="239">
        <v>45807</v>
      </c>
      <c r="C252" s="226">
        <v>0.66666666666666663</v>
      </c>
      <c r="D252" s="226">
        <v>0.79166666666666663</v>
      </c>
      <c r="E252" s="226">
        <v>0.125</v>
      </c>
      <c r="F252" s="247" t="s">
        <v>160</v>
      </c>
      <c r="G252" s="247" t="s">
        <v>288</v>
      </c>
      <c r="H252" s="257" t="s">
        <v>119</v>
      </c>
      <c r="I252" s="290"/>
      <c r="J252" s="290" t="s">
        <v>157</v>
      </c>
      <c r="K252" s="223">
        <v>1</v>
      </c>
      <c r="L252" s="291"/>
      <c r="M252" s="290"/>
    </row>
    <row r="253" spans="1:14" x14ac:dyDescent="0.35">
      <c r="A253" s="251">
        <v>6</v>
      </c>
      <c r="B253" s="239">
        <v>45808</v>
      </c>
      <c r="C253" s="226"/>
      <c r="D253" s="226"/>
      <c r="E253" s="226"/>
      <c r="F253" s="259"/>
      <c r="G253" s="271"/>
      <c r="H253" s="257"/>
      <c r="I253" s="223"/>
      <c r="J253" s="256"/>
      <c r="K253" s="223"/>
      <c r="L253" s="225"/>
      <c r="M253" s="223"/>
    </row>
    <row r="254" spans="1:14" x14ac:dyDescent="0.35">
      <c r="A254" s="261">
        <v>7</v>
      </c>
      <c r="B254" s="262">
        <v>45809</v>
      </c>
      <c r="C254" s="263"/>
      <c r="D254" s="263"/>
      <c r="E254" s="268"/>
      <c r="F254" s="285"/>
      <c r="G254" s="289"/>
      <c r="H254" s="267"/>
      <c r="I254" s="236"/>
      <c r="J254" s="268"/>
      <c r="K254" s="236"/>
      <c r="L254" s="237"/>
      <c r="M254" s="236"/>
    </row>
    <row r="255" spans="1:14" s="250" customFormat="1" x14ac:dyDescent="0.35">
      <c r="A255" s="248">
        <v>1</v>
      </c>
      <c r="B255" s="272">
        <v>45810</v>
      </c>
      <c r="C255" s="240"/>
      <c r="D255" s="240"/>
      <c r="E255" s="240"/>
      <c r="F255" s="297"/>
      <c r="G255" s="298"/>
      <c r="H255" s="243"/>
      <c r="I255" s="211"/>
      <c r="J255" s="244"/>
      <c r="K255" s="223"/>
      <c r="L255" s="213"/>
      <c r="M255" s="223"/>
    </row>
    <row r="256" spans="1:14" x14ac:dyDescent="0.35">
      <c r="A256" s="251">
        <v>2</v>
      </c>
      <c r="B256" s="272">
        <v>45811</v>
      </c>
      <c r="C256" s="240">
        <v>0.75</v>
      </c>
      <c r="D256" s="240">
        <v>0.875</v>
      </c>
      <c r="E256" s="240">
        <v>0.125</v>
      </c>
      <c r="F256" s="247" t="s">
        <v>160</v>
      </c>
      <c r="G256" s="247" t="s">
        <v>121</v>
      </c>
      <c r="H256" s="257" t="s">
        <v>119</v>
      </c>
      <c r="I256" s="223"/>
      <c r="J256" s="256" t="s">
        <v>157</v>
      </c>
      <c r="K256" s="223">
        <v>1</v>
      </c>
      <c r="L256" s="225"/>
      <c r="M256" s="223"/>
    </row>
    <row r="257" spans="1:14" x14ac:dyDescent="0.35">
      <c r="A257" s="251">
        <v>3</v>
      </c>
      <c r="B257" s="272">
        <v>45812</v>
      </c>
      <c r="C257" s="240"/>
      <c r="D257" s="240"/>
      <c r="E257" s="240"/>
      <c r="F257" s="247"/>
      <c r="G257" s="247"/>
      <c r="H257" s="257"/>
      <c r="I257" s="290"/>
      <c r="J257" s="290"/>
      <c r="K257" s="223"/>
      <c r="L257" s="225"/>
      <c r="M257" s="223"/>
    </row>
    <row r="258" spans="1:14" x14ac:dyDescent="0.35">
      <c r="A258" s="251">
        <v>4</v>
      </c>
      <c r="B258" s="272">
        <v>45813</v>
      </c>
      <c r="C258" s="226">
        <v>0.75</v>
      </c>
      <c r="D258" s="226">
        <v>0.875</v>
      </c>
      <c r="E258" s="226">
        <v>0.125</v>
      </c>
      <c r="F258" s="247" t="s">
        <v>160</v>
      </c>
      <c r="G258" s="247" t="s">
        <v>122</v>
      </c>
      <c r="H258" s="257" t="s">
        <v>119</v>
      </c>
      <c r="I258" s="223"/>
      <c r="J258" s="256" t="s">
        <v>157</v>
      </c>
      <c r="K258" s="211">
        <v>1</v>
      </c>
      <c r="L258" s="225"/>
      <c r="M258" s="223"/>
    </row>
    <row r="259" spans="1:14" x14ac:dyDescent="0.35">
      <c r="A259" s="251">
        <v>5</v>
      </c>
      <c r="B259" s="272">
        <v>45814</v>
      </c>
      <c r="C259" s="226">
        <v>0.66666666666666663</v>
      </c>
      <c r="D259" s="226">
        <v>0.79166666666666663</v>
      </c>
      <c r="E259" s="226">
        <v>0.125</v>
      </c>
      <c r="F259" s="277" t="s">
        <v>124</v>
      </c>
      <c r="G259" s="277" t="s">
        <v>289</v>
      </c>
      <c r="H259" s="286" t="s">
        <v>129</v>
      </c>
      <c r="I259" s="225" t="s">
        <v>316</v>
      </c>
      <c r="J259" s="256"/>
      <c r="K259" s="223">
        <v>1</v>
      </c>
      <c r="L259" s="225"/>
      <c r="M259" s="223">
        <v>3</v>
      </c>
    </row>
    <row r="260" spans="1:14" x14ac:dyDescent="0.35">
      <c r="A260" s="251">
        <v>6</v>
      </c>
      <c r="B260" s="272">
        <v>45815</v>
      </c>
      <c r="C260" s="226"/>
      <c r="D260" s="226"/>
      <c r="E260" s="226"/>
      <c r="F260" s="271"/>
      <c r="G260" s="271"/>
      <c r="H260" s="257"/>
      <c r="I260" s="223"/>
      <c r="J260" s="256"/>
      <c r="K260" s="223"/>
      <c r="L260" s="225"/>
      <c r="M260" s="223"/>
    </row>
    <row r="261" spans="1:14" x14ac:dyDescent="0.35">
      <c r="A261" s="261">
        <v>7</v>
      </c>
      <c r="B261" s="262">
        <v>45816</v>
      </c>
      <c r="C261" s="263"/>
      <c r="D261" s="263"/>
      <c r="E261" s="268"/>
      <c r="F261" s="285"/>
      <c r="G261" s="289"/>
      <c r="H261" s="267"/>
      <c r="I261" s="236"/>
      <c r="J261" s="268"/>
      <c r="K261" s="236"/>
      <c r="L261" s="237"/>
      <c r="M261" s="236"/>
    </row>
    <row r="262" spans="1:14" x14ac:dyDescent="0.35">
      <c r="A262" s="299">
        <v>1</v>
      </c>
      <c r="B262" s="300">
        <v>45817</v>
      </c>
      <c r="C262" s="336"/>
      <c r="D262" s="336"/>
      <c r="E262" s="336"/>
      <c r="F262" s="337"/>
      <c r="G262" s="337"/>
      <c r="H262" s="338"/>
      <c r="I262" s="338"/>
      <c r="J262" s="336"/>
      <c r="K262" s="338"/>
      <c r="L262" s="339"/>
      <c r="M262" s="338"/>
      <c r="N262" t="s">
        <v>155</v>
      </c>
    </row>
    <row r="263" spans="1:14" x14ac:dyDescent="0.35">
      <c r="A263" s="251">
        <v>2</v>
      </c>
      <c r="B263" s="269">
        <v>45818</v>
      </c>
      <c r="C263" s="240">
        <v>0.75</v>
      </c>
      <c r="D263" s="240">
        <v>0.875</v>
      </c>
      <c r="E263" s="240">
        <v>0.125</v>
      </c>
      <c r="F263" s="247" t="s">
        <v>160</v>
      </c>
      <c r="G263" s="247" t="s">
        <v>123</v>
      </c>
      <c r="H263" s="257" t="s">
        <v>119</v>
      </c>
      <c r="I263" s="223"/>
      <c r="J263" s="256" t="s">
        <v>157</v>
      </c>
      <c r="K263" s="223">
        <v>1</v>
      </c>
      <c r="L263" s="225"/>
      <c r="M263" s="223"/>
    </row>
    <row r="264" spans="1:14" x14ac:dyDescent="0.35">
      <c r="A264" s="251">
        <v>3</v>
      </c>
      <c r="B264" s="269">
        <v>45819</v>
      </c>
      <c r="C264" s="240"/>
      <c r="D264" s="240"/>
      <c r="E264" s="240"/>
      <c r="F264" s="259"/>
      <c r="G264" s="271"/>
      <c r="H264" s="257"/>
      <c r="I264" s="223"/>
      <c r="J264" s="256"/>
      <c r="K264" s="223"/>
      <c r="L264" s="225"/>
      <c r="M264" s="223"/>
    </row>
    <row r="265" spans="1:14" x14ac:dyDescent="0.35">
      <c r="A265" s="251">
        <v>4</v>
      </c>
      <c r="B265" s="269">
        <v>45820</v>
      </c>
      <c r="C265" s="226">
        <v>0.75</v>
      </c>
      <c r="D265" s="226">
        <v>0.875</v>
      </c>
      <c r="E265" s="226">
        <v>0.125</v>
      </c>
      <c r="F265" s="247" t="s">
        <v>132</v>
      </c>
      <c r="G265" s="247" t="s">
        <v>290</v>
      </c>
      <c r="H265" s="257" t="s">
        <v>146</v>
      </c>
      <c r="I265" s="223" t="s">
        <v>316</v>
      </c>
      <c r="J265" s="256"/>
      <c r="K265" s="211">
        <v>1</v>
      </c>
      <c r="L265" s="225"/>
      <c r="M265" s="223"/>
    </row>
    <row r="266" spans="1:14" x14ac:dyDescent="0.35">
      <c r="A266" s="251">
        <v>5</v>
      </c>
      <c r="B266" s="269">
        <v>45821</v>
      </c>
      <c r="C266" s="226">
        <v>0.66666666666666663</v>
      </c>
      <c r="D266" s="226">
        <v>0.79166666666666663</v>
      </c>
      <c r="E266" s="226">
        <v>0.125</v>
      </c>
      <c r="F266" s="247" t="s">
        <v>132</v>
      </c>
      <c r="G266" s="247" t="s">
        <v>291</v>
      </c>
      <c r="H266" s="257" t="s">
        <v>146</v>
      </c>
      <c r="I266" s="223" t="s">
        <v>316</v>
      </c>
      <c r="J266" s="256"/>
      <c r="K266" s="223">
        <v>1</v>
      </c>
      <c r="L266" s="225"/>
      <c r="M266" s="223"/>
    </row>
    <row r="267" spans="1:14" x14ac:dyDescent="0.35">
      <c r="A267" s="251">
        <v>6</v>
      </c>
      <c r="B267" s="269">
        <v>45822</v>
      </c>
      <c r="C267" s="226"/>
      <c r="D267" s="226"/>
      <c r="E267" s="226"/>
      <c r="F267" s="259"/>
      <c r="G267" s="271"/>
      <c r="H267" s="257"/>
      <c r="I267" s="223"/>
      <c r="J267" s="256"/>
      <c r="K267" s="223"/>
      <c r="L267" s="225"/>
      <c r="M267" s="223"/>
    </row>
    <row r="268" spans="1:14" x14ac:dyDescent="0.35">
      <c r="A268" s="261">
        <v>7</v>
      </c>
      <c r="B268" s="262">
        <v>45823</v>
      </c>
      <c r="C268" s="263"/>
      <c r="D268" s="263"/>
      <c r="E268" s="268"/>
      <c r="F268" s="285"/>
      <c r="G268" s="289"/>
      <c r="H268" s="267"/>
      <c r="I268" s="236"/>
      <c r="J268" s="268"/>
      <c r="K268" s="236"/>
      <c r="L268" s="237"/>
      <c r="M268" s="236"/>
    </row>
    <row r="269" spans="1:14" x14ac:dyDescent="0.35">
      <c r="A269" s="251">
        <v>1</v>
      </c>
      <c r="B269" s="269">
        <v>45824</v>
      </c>
      <c r="C269" s="226"/>
      <c r="D269" s="226"/>
      <c r="E269" s="226"/>
      <c r="F269" s="259"/>
      <c r="G269" s="271"/>
      <c r="H269" s="257"/>
      <c r="I269" s="223"/>
      <c r="J269" s="256"/>
      <c r="L269" s="225"/>
      <c r="M269" s="223"/>
    </row>
    <row r="270" spans="1:14" x14ac:dyDescent="0.35">
      <c r="A270" s="251">
        <v>2</v>
      </c>
      <c r="B270" s="269">
        <v>45825</v>
      </c>
      <c r="C270" s="240">
        <v>0.75</v>
      </c>
      <c r="D270" s="240">
        <v>0.875</v>
      </c>
      <c r="E270" s="240">
        <v>0.125</v>
      </c>
      <c r="F270" s="247" t="s">
        <v>132</v>
      </c>
      <c r="G270" s="247" t="s">
        <v>292</v>
      </c>
      <c r="H270" s="257" t="s">
        <v>146</v>
      </c>
      <c r="I270" s="223" t="s">
        <v>316</v>
      </c>
      <c r="J270" s="256"/>
      <c r="K270" s="223">
        <v>1</v>
      </c>
      <c r="L270" s="225"/>
      <c r="M270" s="223"/>
    </row>
    <row r="271" spans="1:14" x14ac:dyDescent="0.35">
      <c r="A271" s="251">
        <v>3</v>
      </c>
      <c r="B271" s="269">
        <v>45826</v>
      </c>
      <c r="C271" s="240"/>
      <c r="D271" s="240"/>
      <c r="E271" s="240"/>
      <c r="F271" s="247"/>
      <c r="G271" s="247"/>
      <c r="H271" s="243"/>
      <c r="I271" s="211"/>
      <c r="J271" s="256"/>
      <c r="K271" s="223"/>
      <c r="L271" s="225"/>
      <c r="M271" s="223"/>
    </row>
    <row r="272" spans="1:14" x14ac:dyDescent="0.35">
      <c r="A272" s="251">
        <v>4</v>
      </c>
      <c r="B272" s="269">
        <v>45827</v>
      </c>
      <c r="C272" s="226">
        <v>0.75</v>
      </c>
      <c r="D272" s="226">
        <v>0.875</v>
      </c>
      <c r="E272" s="226">
        <v>0.125</v>
      </c>
      <c r="F272" s="247" t="s">
        <v>132</v>
      </c>
      <c r="G272" s="247" t="s">
        <v>293</v>
      </c>
      <c r="H272" s="243" t="s">
        <v>146</v>
      </c>
      <c r="I272" s="211" t="s">
        <v>316</v>
      </c>
      <c r="J272" s="256"/>
      <c r="K272" s="211">
        <v>1</v>
      </c>
      <c r="L272" s="225"/>
      <c r="M272" s="223"/>
    </row>
    <row r="273" spans="1:15" s="250" customFormat="1" x14ac:dyDescent="0.35">
      <c r="A273" s="248">
        <v>5</v>
      </c>
      <c r="B273" s="269">
        <v>45828</v>
      </c>
      <c r="C273" s="226">
        <v>0.66666666666666663</v>
      </c>
      <c r="D273" s="226">
        <v>0.79166666666666663</v>
      </c>
      <c r="E273" s="226">
        <v>0.125</v>
      </c>
      <c r="F273" s="277" t="s">
        <v>124</v>
      </c>
      <c r="G273" s="277" t="s">
        <v>294</v>
      </c>
      <c r="H273" s="286" t="s">
        <v>129</v>
      </c>
      <c r="I273" s="225" t="s">
        <v>316</v>
      </c>
      <c r="J273" s="244"/>
      <c r="K273" s="223">
        <v>1</v>
      </c>
      <c r="L273" s="213"/>
      <c r="M273" s="223">
        <v>3</v>
      </c>
    </row>
    <row r="274" spans="1:15" x14ac:dyDescent="0.35">
      <c r="A274" s="248">
        <v>6</v>
      </c>
      <c r="B274" s="269">
        <v>45829</v>
      </c>
      <c r="C274" s="240"/>
      <c r="D274" s="240"/>
      <c r="E274" s="240"/>
      <c r="F274" s="247"/>
      <c r="G274" s="247"/>
      <c r="H274" s="243"/>
      <c r="I274" s="211"/>
      <c r="J274" s="256"/>
      <c r="K274" s="211"/>
      <c r="L274" s="213"/>
      <c r="M274" s="211"/>
    </row>
    <row r="275" spans="1:15" x14ac:dyDescent="0.35">
      <c r="A275" s="261">
        <v>7</v>
      </c>
      <c r="B275" s="262">
        <v>45830</v>
      </c>
      <c r="C275" s="263"/>
      <c r="D275" s="263"/>
      <c r="E275" s="268"/>
      <c r="F275" s="285"/>
      <c r="G275" s="289"/>
      <c r="H275" s="267"/>
      <c r="I275" s="236"/>
      <c r="J275" s="268"/>
      <c r="K275" s="236"/>
      <c r="L275" s="237"/>
      <c r="M275" s="236"/>
    </row>
    <row r="276" spans="1:15" x14ac:dyDescent="0.35">
      <c r="A276" s="248">
        <v>1</v>
      </c>
      <c r="B276" s="239">
        <v>45831</v>
      </c>
      <c r="C276" s="240"/>
      <c r="D276" s="240"/>
      <c r="E276" s="244"/>
      <c r="F276" s="297"/>
      <c r="G276" s="298"/>
      <c r="H276" s="243"/>
      <c r="I276" s="211"/>
      <c r="J276" s="244"/>
      <c r="K276" s="223"/>
      <c r="L276" s="225"/>
      <c r="M276" s="223"/>
      <c r="N276" s="347" t="s">
        <v>327</v>
      </c>
      <c r="O276" s="348"/>
    </row>
    <row r="277" spans="1:15" x14ac:dyDescent="0.35">
      <c r="A277" s="299">
        <v>2</v>
      </c>
      <c r="B277" s="300">
        <v>45832</v>
      </c>
      <c r="C277" s="305"/>
      <c r="D277" s="305"/>
      <c r="E277" s="305"/>
      <c r="F277" s="306"/>
      <c r="G277" s="301"/>
      <c r="H277" s="302"/>
      <c r="I277" s="217"/>
      <c r="J277" s="303"/>
      <c r="K277" s="217"/>
      <c r="L277" s="219"/>
      <c r="M277" s="217"/>
      <c r="N277" t="s">
        <v>155</v>
      </c>
    </row>
    <row r="278" spans="1:15" x14ac:dyDescent="0.35">
      <c r="A278" s="251">
        <v>3</v>
      </c>
      <c r="B278" s="308">
        <v>45833</v>
      </c>
      <c r="C278" s="226"/>
      <c r="D278" s="226"/>
      <c r="E278" s="226"/>
      <c r="F278" s="259"/>
      <c r="G278" s="271"/>
      <c r="H278" s="257"/>
      <c r="I278" s="223"/>
      <c r="J278" s="256"/>
      <c r="K278" s="223"/>
      <c r="L278" s="225"/>
      <c r="M278" s="223"/>
    </row>
    <row r="279" spans="1:15" x14ac:dyDescent="0.35">
      <c r="A279" s="251">
        <v>4</v>
      </c>
      <c r="B279" s="308">
        <v>45834</v>
      </c>
      <c r="C279" s="226"/>
      <c r="D279" s="226"/>
      <c r="E279" s="226"/>
      <c r="F279" s="259"/>
      <c r="G279" s="341" t="s">
        <v>326</v>
      </c>
      <c r="H279" s="286"/>
      <c r="I279" s="286"/>
      <c r="J279" s="256"/>
      <c r="K279" s="223"/>
      <c r="L279" s="225"/>
      <c r="M279" s="223"/>
    </row>
    <row r="280" spans="1:15" x14ac:dyDescent="0.35">
      <c r="A280" s="251">
        <v>5</v>
      </c>
      <c r="B280" s="330">
        <v>45835</v>
      </c>
      <c r="C280" s="226"/>
      <c r="D280" s="226"/>
      <c r="E280" s="226"/>
      <c r="F280" s="277"/>
      <c r="G280" s="341" t="s">
        <v>326</v>
      </c>
      <c r="H280" s="286"/>
      <c r="I280" s="286"/>
      <c r="J280" s="256"/>
      <c r="K280" s="223"/>
      <c r="M280" s="223"/>
    </row>
    <row r="281" spans="1:15" x14ac:dyDescent="0.35">
      <c r="A281" s="251">
        <v>6</v>
      </c>
      <c r="B281" s="308">
        <v>45836</v>
      </c>
      <c r="C281" s="226"/>
      <c r="D281" s="226"/>
      <c r="E281" s="226"/>
      <c r="F281" s="247"/>
      <c r="G281" s="247"/>
      <c r="H281" s="257"/>
      <c r="I281" s="223"/>
      <c r="J281" s="256"/>
      <c r="K281" s="223"/>
      <c r="L281" s="225"/>
      <c r="M281" s="223"/>
    </row>
    <row r="282" spans="1:15" x14ac:dyDescent="0.35">
      <c r="A282" s="261">
        <v>7</v>
      </c>
      <c r="B282" s="310">
        <v>45837</v>
      </c>
      <c r="C282" s="263"/>
      <c r="D282" s="263"/>
      <c r="E282" s="268"/>
      <c r="F282" s="285"/>
      <c r="G282" s="289"/>
      <c r="H282" s="267"/>
      <c r="I282" s="236"/>
      <c r="J282" s="268"/>
      <c r="K282" s="236"/>
      <c r="L282" s="237"/>
      <c r="M282" s="236"/>
    </row>
    <row r="283" spans="1:15" x14ac:dyDescent="0.35">
      <c r="A283" s="251">
        <v>1</v>
      </c>
      <c r="B283" s="308">
        <v>45838</v>
      </c>
      <c r="C283" s="226"/>
      <c r="D283" s="226"/>
      <c r="E283" s="226"/>
      <c r="F283" s="259"/>
      <c r="G283" s="271"/>
      <c r="H283" s="257"/>
      <c r="I283" s="223"/>
      <c r="J283" s="256"/>
      <c r="K283" s="223"/>
      <c r="L283" s="225"/>
      <c r="M283" s="223"/>
    </row>
    <row r="284" spans="1:15" x14ac:dyDescent="0.35">
      <c r="A284" s="251">
        <v>2</v>
      </c>
      <c r="B284" s="308">
        <v>45839</v>
      </c>
      <c r="C284" s="240">
        <v>0.75</v>
      </c>
      <c r="D284" s="240">
        <v>0.875</v>
      </c>
      <c r="E284" s="240">
        <v>0.125</v>
      </c>
      <c r="F284" s="277" t="s">
        <v>132</v>
      </c>
      <c r="G284" s="277" t="s">
        <v>295</v>
      </c>
      <c r="H284" s="286" t="s">
        <v>328</v>
      </c>
      <c r="I284" s="286" t="s">
        <v>329</v>
      </c>
      <c r="J284" s="256" t="s">
        <v>157</v>
      </c>
      <c r="K284" s="223">
        <v>1</v>
      </c>
      <c r="L284" s="225"/>
      <c r="M284" s="223">
        <v>3</v>
      </c>
    </row>
    <row r="285" spans="1:15" x14ac:dyDescent="0.35">
      <c r="A285" s="251">
        <v>3</v>
      </c>
      <c r="B285" s="308">
        <v>45840</v>
      </c>
      <c r="C285" s="226"/>
      <c r="D285" s="226"/>
      <c r="E285" s="226"/>
      <c r="F285" s="247"/>
      <c r="G285" s="247"/>
      <c r="H285" s="247"/>
      <c r="I285" s="257"/>
      <c r="J285" s="256"/>
      <c r="K285" s="223"/>
      <c r="L285" s="225"/>
      <c r="M285" s="223"/>
    </row>
    <row r="286" spans="1:15" x14ac:dyDescent="0.35">
      <c r="A286" s="251">
        <v>4</v>
      </c>
      <c r="B286" s="308">
        <v>45841</v>
      </c>
      <c r="C286" s="226">
        <v>0.75</v>
      </c>
      <c r="D286" s="226">
        <v>0.875</v>
      </c>
      <c r="E286" s="226">
        <v>0.125</v>
      </c>
      <c r="F286" s="277" t="s">
        <v>132</v>
      </c>
      <c r="G286" s="277" t="s">
        <v>296</v>
      </c>
      <c r="H286" s="286" t="s">
        <v>328</v>
      </c>
      <c r="I286" s="286"/>
      <c r="J286" s="256"/>
      <c r="K286" s="211">
        <v>1</v>
      </c>
      <c r="L286" s="225"/>
      <c r="M286" s="223">
        <v>3</v>
      </c>
    </row>
    <row r="287" spans="1:15" x14ac:dyDescent="0.35">
      <c r="A287" s="251">
        <v>5</v>
      </c>
      <c r="B287" s="308">
        <v>45842</v>
      </c>
      <c r="C287" s="226">
        <v>0.66666666666666663</v>
      </c>
      <c r="D287" s="226">
        <v>0.79166666666666663</v>
      </c>
      <c r="E287" s="226">
        <v>0.125</v>
      </c>
      <c r="F287" s="277" t="s">
        <v>132</v>
      </c>
      <c r="G287" s="277" t="s">
        <v>296</v>
      </c>
      <c r="H287" s="286" t="s">
        <v>328</v>
      </c>
      <c r="I287" s="286" t="s">
        <v>330</v>
      </c>
      <c r="J287" s="256"/>
      <c r="K287" s="223">
        <v>1</v>
      </c>
      <c r="L287" s="225"/>
      <c r="M287" s="223">
        <v>3</v>
      </c>
    </row>
    <row r="288" spans="1:15" x14ac:dyDescent="0.35">
      <c r="A288" s="251">
        <v>6</v>
      </c>
      <c r="B288" s="308">
        <v>45843</v>
      </c>
      <c r="C288" s="226">
        <v>0.41666666666666669</v>
      </c>
      <c r="D288" s="226">
        <v>0.54166666666666663</v>
      </c>
      <c r="E288" s="226">
        <v>0.125</v>
      </c>
      <c r="F288" s="277" t="s">
        <v>132</v>
      </c>
      <c r="G288" s="277" t="s">
        <v>296</v>
      </c>
      <c r="H288" s="286" t="s">
        <v>328</v>
      </c>
      <c r="I288" s="286" t="s">
        <v>330</v>
      </c>
      <c r="J288" s="256"/>
      <c r="K288" s="223">
        <v>1</v>
      </c>
      <c r="L288" s="309">
        <f>SUM(K193:K288)</f>
        <v>35</v>
      </c>
      <c r="M288" s="223">
        <v>3</v>
      </c>
    </row>
    <row r="289" spans="1:13" x14ac:dyDescent="0.35">
      <c r="A289" s="261">
        <v>7</v>
      </c>
      <c r="B289" s="310">
        <v>45844</v>
      </c>
      <c r="C289" s="263"/>
      <c r="D289" s="263"/>
      <c r="E289" s="268"/>
      <c r="F289" s="285"/>
      <c r="G289" s="289"/>
      <c r="H289" s="267"/>
      <c r="I289" s="236"/>
      <c r="J289" s="268"/>
      <c r="K289" s="236"/>
      <c r="L289" s="237"/>
      <c r="M289" s="236"/>
    </row>
    <row r="290" spans="1:13" x14ac:dyDescent="0.35">
      <c r="A290" s="251">
        <v>1</v>
      </c>
      <c r="B290" s="308">
        <v>45845</v>
      </c>
      <c r="C290" s="226"/>
      <c r="D290" s="226"/>
      <c r="E290" s="226"/>
      <c r="F290" s="259"/>
      <c r="G290" s="271"/>
      <c r="H290" s="257"/>
      <c r="I290" s="223"/>
      <c r="J290" s="256"/>
      <c r="K290" s="256"/>
      <c r="L290" s="256"/>
      <c r="M290" s="256"/>
    </row>
    <row r="291" spans="1:13" x14ac:dyDescent="0.35">
      <c r="A291" s="251">
        <v>2</v>
      </c>
      <c r="B291" s="308">
        <v>45846</v>
      </c>
      <c r="C291" s="226"/>
      <c r="D291" s="226"/>
      <c r="E291" s="226"/>
      <c r="F291" s="259"/>
      <c r="G291" s="271"/>
      <c r="H291" s="257"/>
      <c r="I291" s="223"/>
      <c r="J291" s="256"/>
      <c r="K291" s="256"/>
      <c r="L291" s="256"/>
      <c r="M291" s="256"/>
    </row>
    <row r="292" spans="1:13" x14ac:dyDescent="0.35">
      <c r="A292" s="251">
        <v>3</v>
      </c>
      <c r="B292" s="308">
        <v>45847</v>
      </c>
      <c r="C292" s="226"/>
      <c r="D292" s="226"/>
      <c r="E292" s="226"/>
      <c r="F292" s="259"/>
      <c r="G292" s="271"/>
      <c r="H292" s="257"/>
      <c r="I292" s="223"/>
      <c r="J292" s="256"/>
      <c r="K292" s="256"/>
      <c r="L292" s="256"/>
      <c r="M292" s="256"/>
    </row>
    <row r="293" spans="1:13" x14ac:dyDescent="0.35">
      <c r="A293" s="251">
        <v>4</v>
      </c>
      <c r="B293" s="308">
        <v>45848</v>
      </c>
      <c r="C293" s="226"/>
      <c r="D293" s="226"/>
      <c r="E293" s="256"/>
      <c r="F293" s="259"/>
      <c r="G293" s="271"/>
      <c r="H293" s="257"/>
      <c r="I293" s="223"/>
      <c r="J293" s="256"/>
      <c r="K293" s="256"/>
      <c r="L293" s="256"/>
      <c r="M293" s="256"/>
    </row>
    <row r="294" spans="1:13" x14ac:dyDescent="0.35">
      <c r="A294" s="251">
        <v>5</v>
      </c>
      <c r="B294" s="308">
        <v>45849</v>
      </c>
      <c r="C294" s="226"/>
      <c r="D294" s="226"/>
      <c r="E294" s="226"/>
      <c r="F294" s="259"/>
      <c r="G294" s="271"/>
      <c r="H294" s="257"/>
      <c r="I294" s="223"/>
      <c r="J294" s="256"/>
      <c r="K294" s="256"/>
      <c r="L294" s="256"/>
      <c r="M294" s="256"/>
    </row>
    <row r="295" spans="1:13" x14ac:dyDescent="0.35">
      <c r="A295" s="251">
        <v>6</v>
      </c>
      <c r="B295" s="308">
        <v>45850</v>
      </c>
      <c r="C295" s="226"/>
      <c r="D295" s="226"/>
      <c r="E295" s="226"/>
      <c r="F295" s="259"/>
      <c r="G295" s="271"/>
      <c r="H295" s="257"/>
      <c r="I295" s="223"/>
      <c r="J295" s="256"/>
      <c r="K295" s="256"/>
      <c r="L295" s="256"/>
      <c r="M295" s="256"/>
    </row>
    <row r="296" spans="1:13" x14ac:dyDescent="0.35">
      <c r="A296" s="261">
        <v>7</v>
      </c>
      <c r="B296" s="310">
        <v>45851</v>
      </c>
      <c r="C296" s="263"/>
      <c r="D296" s="263"/>
      <c r="E296" s="268"/>
      <c r="F296" s="285"/>
      <c r="G296" s="289"/>
      <c r="H296" s="267"/>
      <c r="I296" s="236"/>
      <c r="J296" s="268"/>
      <c r="K296" s="268"/>
      <c r="L296" s="268"/>
      <c r="M296" s="268"/>
    </row>
    <row r="298" spans="1:13" x14ac:dyDescent="0.35">
      <c r="E298" s="352">
        <f>SUM(E3:E296)</f>
        <v>13</v>
      </c>
      <c r="F298" t="s">
        <v>150</v>
      </c>
    </row>
    <row r="299" spans="1:13" x14ac:dyDescent="0.35">
      <c r="E299" s="352">
        <f>SUMIF(J3:J296,"SI",E3:E296)</f>
        <v>7.125</v>
      </c>
      <c r="F299" t="s">
        <v>162</v>
      </c>
    </row>
    <row r="300" spans="1:13" x14ac:dyDescent="0.35">
      <c r="E300" s="353">
        <f>E299/E298</f>
        <v>0.54807692307692313</v>
      </c>
    </row>
  </sheetData>
  <conditionalFormatting sqref="A53:A57 I59:J62 H63 J63 I66:J66 H67 I74 J123 J125:J126 J130 I249:J249 I251:J252 I257:J257">
    <cfRule type="expression" dxfId="147" priority="32">
      <formula>IFERROR(INDEX(DiasCategorias, A53-FechaInicio+1),0)=2</formula>
    </cfRule>
    <cfRule type="expression" dxfId="146" priority="33">
      <formula>IFERROR(INDEX(DiasCategorias, A53-FechaInicio+1),0)=3</formula>
    </cfRule>
    <cfRule type="expression" dxfId="145" priority="34">
      <formula>IFERROR(INDEX(DiasCategorias, A53-FechaInicio+1),0)=4</formula>
    </cfRule>
    <cfRule type="expression" dxfId="144" priority="35">
      <formula>IFERROR(INDEX(DiasCategorias, A53-FechaInicio+1),0)=5</formula>
    </cfRule>
  </conditionalFormatting>
  <conditionalFormatting sqref="A212">
    <cfRule type="expression" dxfId="143" priority="26">
      <formula>IFERROR(INDEX(DiasCategorias, A212-FechaInicio+1),0)=1</formula>
    </cfRule>
    <cfRule type="expression" dxfId="142" priority="27">
      <formula>IFERROR(INDEX(DiasCategorias, A212-FechaInicio+1),0)=2</formula>
    </cfRule>
    <cfRule type="expression" dxfId="141" priority="28">
      <formula>IFERROR(INDEX(DiasCategorias, A212-FechaInicio+1),0)=3</formula>
    </cfRule>
    <cfRule type="expression" dxfId="140" priority="29">
      <formula>IFERROR(INDEX(DiasCategorias, A212-FechaInicio+1),0)=4</formula>
    </cfRule>
    <cfRule type="expression" dxfId="139" priority="30">
      <formula>IFERROR(INDEX(DiasCategorias, A212-FechaInicio+1),0)=5</formula>
    </cfRule>
  </conditionalFormatting>
  <conditionalFormatting sqref="H73:H76">
    <cfRule type="expression" dxfId="138" priority="16">
      <formula>IFERROR(INDEX(DiasCategorias, H73-FechaInicio+1),0)=1</formula>
    </cfRule>
    <cfRule type="expression" dxfId="137" priority="17">
      <formula>IFERROR(INDEX(DiasCategorias, H73-FechaInicio+1),0)=2</formula>
    </cfRule>
    <cfRule type="expression" dxfId="136" priority="18">
      <formula>IFERROR(INDEX(DiasCategorias, H73-FechaInicio+1),0)=3</formula>
    </cfRule>
    <cfRule type="expression" dxfId="135" priority="19">
      <formula>IFERROR(INDEX(DiasCategorias, H73-FechaInicio+1),0)=4</formula>
    </cfRule>
    <cfRule type="expression" dxfId="134" priority="20">
      <formula>IFERROR(INDEX(DiasCategorias, H73-FechaInicio+1),0)=5</formula>
    </cfRule>
  </conditionalFormatting>
  <conditionalFormatting sqref="I202:J203">
    <cfRule type="expression" dxfId="133" priority="11">
      <formula>IFERROR(INDEX(DiasCategorias, I202-FechaInicio+1),0)=1</formula>
    </cfRule>
    <cfRule type="expression" dxfId="132" priority="12">
      <formula>IFERROR(INDEX(DiasCategorias, I202-FechaInicio+1),0)=2</formula>
    </cfRule>
    <cfRule type="expression" dxfId="131" priority="13">
      <formula>IFERROR(INDEX(DiasCategorias, I202-FechaInicio+1),0)=3</formula>
    </cfRule>
    <cfRule type="expression" dxfId="130" priority="14">
      <formula>IFERROR(INDEX(DiasCategorias, I202-FechaInicio+1),0)=4</formula>
    </cfRule>
    <cfRule type="expression" dxfId="129" priority="15">
      <formula>IFERROR(INDEX(DiasCategorias, I202-FechaInicio+1),0)=5</formula>
    </cfRule>
  </conditionalFormatting>
  <conditionalFormatting sqref="J63 A53:A57 I59:J62 H63 I66:J66 H67 I74 J123 J125:J126 J130 I249:J249 I251:J252 I257:J257">
    <cfRule type="expression" dxfId="128" priority="31">
      <formula>IFERROR(INDEX(DiasCategorias, A53-FechaInicio+1),0)=1</formula>
    </cfRule>
  </conditionalFormatting>
  <conditionalFormatting sqref="J63 F70:G70 I70:J70 H81">
    <cfRule type="expression" dxfId="127" priority="21">
      <formula>IFERROR(INDEX(DiasCategorias, F63-FechaInicio+1),0)=1</formula>
    </cfRule>
    <cfRule type="expression" dxfId="126" priority="22">
      <formula>IFERROR(INDEX(DiasCategorias, F63-FechaInicio+1),0)=2</formula>
    </cfRule>
    <cfRule type="expression" dxfId="125" priority="23">
      <formula>IFERROR(INDEX(DiasCategorias, F63-FechaInicio+1),0)=3</formula>
    </cfRule>
    <cfRule type="expression" dxfId="124" priority="24">
      <formula>IFERROR(INDEX(DiasCategorias, F63-FechaInicio+1),0)=4</formula>
    </cfRule>
    <cfRule type="expression" dxfId="123" priority="25">
      <formula>IFERROR(INDEX(DiasCategorias, F63-FechaInicio+1),0)=5</formula>
    </cfRule>
  </conditionalFormatting>
  <conditionalFormatting sqref="J214:J217">
    <cfRule type="expression" dxfId="122" priority="6">
      <formula>IFERROR(INDEX(DiasCategorias, J214-FechaInicio+1),0)=1</formula>
    </cfRule>
    <cfRule type="expression" dxfId="121" priority="7">
      <formula>IFERROR(INDEX(DiasCategorias, J214-FechaInicio+1),0)=2</formula>
    </cfRule>
    <cfRule type="expression" dxfId="120" priority="8">
      <formula>IFERROR(INDEX(DiasCategorias, J214-FechaInicio+1),0)=3</formula>
    </cfRule>
    <cfRule type="expression" dxfId="119" priority="9">
      <formula>IFERROR(INDEX(DiasCategorias, J214-FechaInicio+1),0)=4</formula>
    </cfRule>
    <cfRule type="expression" dxfId="118" priority="10">
      <formula>IFERROR(INDEX(DiasCategorias, J214-FechaInicio+1),0)=5</formula>
    </cfRule>
  </conditionalFormatting>
  <conditionalFormatting sqref="L59:M63 L66:M69 L70 L214:M216 L217 F218:M218 L249:M252">
    <cfRule type="expression" dxfId="117" priority="1">
      <formula>IFERROR(INDEX(DiasCategorias, F59-FechaInicio+1),0)=1</formula>
    </cfRule>
    <cfRule type="expression" dxfId="116" priority="2">
      <formula>IFERROR(INDEX(DiasCategorias, F59-FechaInicio+1),0)=2</formula>
    </cfRule>
    <cfRule type="expression" dxfId="115" priority="3">
      <formula>IFERROR(INDEX(DiasCategorias, F59-FechaInicio+1),0)=3</formula>
    </cfRule>
    <cfRule type="expression" dxfId="114" priority="4">
      <formula>IFERROR(INDEX(DiasCategorias, F59-FechaInicio+1),0)=4</formula>
    </cfRule>
    <cfRule type="expression" dxfId="113" priority="5">
      <formula>IFERROR(INDEX(DiasCategorias, F59-FechaInicio+1),0)=5</formula>
    </cfRule>
  </conditionalFormatting>
  <dataValidations count="2">
    <dataValidation type="list" allowBlank="1" showInputMessage="1" showErrorMessage="1" errorTitle="opcio no valida" error="cal seleccionar una opció" promptTitle="Cal seleccionar una opció obliga" sqref="J132" xr:uid="{C6A7C7B0-C6FE-49A1-9AC7-284706E08819}">
      <formula1>#REF!</formula1>
    </dataValidation>
    <dataValidation type="list" allowBlank="1" showInputMessage="1" showErrorMessage="1" sqref="H206:H209 H186" xr:uid="{8CA29428-7491-4F6C-B309-6B24C2A83B16}">
      <formula1>PROFESSORS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ABC36-A459-48C4-902D-3EB46E1B67E7}">
  <dimension ref="A1:M80"/>
  <sheetViews>
    <sheetView topLeftCell="A22" zoomScale="90" zoomScaleNormal="90" workbookViewId="0">
      <selection activeCell="I33" sqref="I33"/>
    </sheetView>
  </sheetViews>
  <sheetFormatPr baseColWidth="10" defaultColWidth="11.453125" defaultRowHeight="14.5" x14ac:dyDescent="0.35"/>
  <cols>
    <col min="1" max="1" width="15.7265625" style="38" customWidth="1"/>
    <col min="2" max="2" width="15.7265625" style="38" hidden="1" customWidth="1"/>
    <col min="3" max="3" width="20" style="30" customWidth="1"/>
    <col min="4" max="4" width="11.453125" style="27"/>
    <col min="5" max="5" width="9.26953125" style="42" customWidth="1"/>
    <col min="6" max="6" width="14.7265625" style="25" hidden="1" customWidth="1"/>
    <col min="7" max="7" width="103.26953125" style="25" bestFit="1" customWidth="1"/>
    <col min="8" max="8" width="23.7265625" style="27" customWidth="1"/>
    <col min="9" max="9" width="22.81640625" style="27" customWidth="1"/>
    <col min="10" max="12" width="10.54296875" style="27" customWidth="1"/>
    <col min="13" max="13" width="22.7265625" style="24" customWidth="1"/>
    <col min="14" max="16384" width="11.453125" style="25"/>
  </cols>
  <sheetData>
    <row r="1" spans="1:13" s="19" customFormat="1" ht="24.75" customHeight="1" x14ac:dyDescent="0.35">
      <c r="A1" s="16" t="s">
        <v>0</v>
      </c>
      <c r="B1" s="16" t="s">
        <v>1</v>
      </c>
      <c r="C1" s="16" t="s">
        <v>2</v>
      </c>
      <c r="D1" s="16"/>
      <c r="E1" s="17" t="s">
        <v>3</v>
      </c>
      <c r="F1" s="16" t="s">
        <v>4</v>
      </c>
      <c r="G1" s="16" t="s">
        <v>5</v>
      </c>
      <c r="H1" s="16" t="s">
        <v>6</v>
      </c>
      <c r="I1" s="16" t="s">
        <v>7</v>
      </c>
      <c r="J1" s="16" t="s">
        <v>8</v>
      </c>
      <c r="K1" s="16" t="s">
        <v>8</v>
      </c>
      <c r="L1" s="16" t="s">
        <v>8</v>
      </c>
      <c r="M1" s="18" t="s">
        <v>9</v>
      </c>
    </row>
    <row r="2" spans="1:13" s="23" customFormat="1" ht="137.15" hidden="1" customHeight="1" x14ac:dyDescent="0.35">
      <c r="A2" s="20" t="s">
        <v>10</v>
      </c>
      <c r="B2" s="20"/>
      <c r="C2" s="20" t="s">
        <v>11</v>
      </c>
      <c r="D2" s="21" t="s">
        <v>12</v>
      </c>
      <c r="E2" s="22" t="s">
        <v>13</v>
      </c>
      <c r="F2" s="21" t="s">
        <v>14</v>
      </c>
      <c r="G2" s="21" t="s">
        <v>15</v>
      </c>
      <c r="H2" s="21"/>
      <c r="I2" s="21"/>
      <c r="J2" s="21" t="s">
        <v>16</v>
      </c>
      <c r="K2" s="21" t="s">
        <v>17</v>
      </c>
      <c r="L2" s="21" t="s">
        <v>18</v>
      </c>
      <c r="M2" s="21" t="s">
        <v>19</v>
      </c>
    </row>
    <row r="3" spans="1:13" ht="24" customHeight="1" x14ac:dyDescent="0.35">
      <c r="A3" s="425"/>
      <c r="B3" s="423"/>
      <c r="C3" s="425" t="s">
        <v>22</v>
      </c>
      <c r="D3" s="427">
        <f>SUM(J3:L8)</f>
        <v>21</v>
      </c>
      <c r="E3" s="429">
        <v>4</v>
      </c>
      <c r="F3" s="430"/>
      <c r="G3" s="25" t="s">
        <v>30</v>
      </c>
      <c r="H3" s="27" t="s">
        <v>26</v>
      </c>
      <c r="I3" s="27" t="s">
        <v>25</v>
      </c>
      <c r="J3" s="27">
        <v>3</v>
      </c>
      <c r="M3" s="422"/>
    </row>
    <row r="4" spans="1:13" ht="24" customHeight="1" x14ac:dyDescent="0.35">
      <c r="A4" s="425"/>
      <c r="B4" s="423"/>
      <c r="C4" s="425"/>
      <c r="D4" s="427"/>
      <c r="E4" s="429"/>
      <c r="F4" s="430"/>
      <c r="G4" s="25" t="s">
        <v>338</v>
      </c>
      <c r="H4" s="27" t="s">
        <v>25</v>
      </c>
      <c r="I4" s="27" t="s">
        <v>26</v>
      </c>
      <c r="J4" s="35">
        <v>6</v>
      </c>
      <c r="M4" s="422"/>
    </row>
    <row r="5" spans="1:13" ht="24" customHeight="1" x14ac:dyDescent="0.35">
      <c r="A5" s="425"/>
      <c r="B5" s="423"/>
      <c r="C5" s="425"/>
      <c r="D5" s="427"/>
      <c r="E5" s="429"/>
      <c r="F5" s="430"/>
      <c r="G5" s="25" t="s">
        <v>370</v>
      </c>
      <c r="H5" s="27" t="s">
        <v>25</v>
      </c>
      <c r="I5" s="27" t="s">
        <v>26</v>
      </c>
      <c r="J5" s="27">
        <v>3</v>
      </c>
      <c r="M5" s="422"/>
    </row>
    <row r="6" spans="1:13" ht="24" customHeight="1" x14ac:dyDescent="0.35">
      <c r="A6" s="425"/>
      <c r="B6" s="423"/>
      <c r="C6" s="425"/>
      <c r="D6" s="427"/>
      <c r="E6" s="429"/>
      <c r="F6" s="430"/>
      <c r="G6" s="25" t="s">
        <v>371</v>
      </c>
      <c r="H6" s="27" t="s">
        <v>25</v>
      </c>
      <c r="I6" s="27" t="s">
        <v>26</v>
      </c>
      <c r="J6" s="27">
        <v>3</v>
      </c>
      <c r="M6" s="422"/>
    </row>
    <row r="7" spans="1:13" ht="24.75" customHeight="1" x14ac:dyDescent="0.35">
      <c r="A7" s="425"/>
      <c r="B7" s="423"/>
      <c r="C7" s="425"/>
      <c r="D7" s="427"/>
      <c r="E7" s="429"/>
      <c r="F7" s="430"/>
      <c r="G7" s="25" t="s">
        <v>33</v>
      </c>
      <c r="H7" s="26" t="s">
        <v>363</v>
      </c>
      <c r="I7" s="26" t="s">
        <v>25</v>
      </c>
      <c r="J7" s="27">
        <v>3</v>
      </c>
      <c r="M7" s="422"/>
    </row>
    <row r="8" spans="1:13" ht="24.75" customHeight="1" x14ac:dyDescent="0.35">
      <c r="A8" s="425"/>
      <c r="B8" s="423"/>
      <c r="C8" s="425"/>
      <c r="D8" s="427"/>
      <c r="E8" s="429"/>
      <c r="F8" s="430"/>
      <c r="G8" s="25" t="s">
        <v>35</v>
      </c>
      <c r="H8" s="26" t="s">
        <v>363</v>
      </c>
      <c r="I8" s="26" t="s">
        <v>25</v>
      </c>
      <c r="J8" s="27">
        <v>3</v>
      </c>
      <c r="M8" s="422"/>
    </row>
    <row r="9" spans="1:13" ht="24" customHeight="1" x14ac:dyDescent="0.35">
      <c r="A9" s="425"/>
      <c r="B9" s="423" t="s">
        <v>36</v>
      </c>
      <c r="C9" s="465" t="s">
        <v>37</v>
      </c>
      <c r="D9" s="467">
        <f>SUM(J9:L21)</f>
        <v>48</v>
      </c>
      <c r="E9" s="451">
        <v>6</v>
      </c>
      <c r="F9" s="426" t="s">
        <v>23</v>
      </c>
      <c r="G9" s="355" t="s">
        <v>268</v>
      </c>
      <c r="H9" s="37" t="s">
        <v>38</v>
      </c>
      <c r="K9" s="27">
        <v>3</v>
      </c>
      <c r="M9" s="421" t="s">
        <v>39</v>
      </c>
    </row>
    <row r="10" spans="1:13" ht="24" customHeight="1" x14ac:dyDescent="0.35">
      <c r="A10" s="425"/>
      <c r="B10" s="423"/>
      <c r="C10" s="466"/>
      <c r="D10" s="467"/>
      <c r="E10" s="451"/>
      <c r="F10" s="427"/>
      <c r="G10" s="355" t="s">
        <v>269</v>
      </c>
      <c r="H10" s="37" t="s">
        <v>300</v>
      </c>
      <c r="K10" s="27">
        <v>3</v>
      </c>
      <c r="M10" s="422"/>
    </row>
    <row r="11" spans="1:13" ht="24" customHeight="1" x14ac:dyDescent="0.35">
      <c r="A11" s="425"/>
      <c r="B11" s="423"/>
      <c r="C11" s="466"/>
      <c r="D11" s="467"/>
      <c r="E11" s="451"/>
      <c r="F11" s="427"/>
      <c r="G11" s="355" t="s">
        <v>270</v>
      </c>
      <c r="H11" s="37" t="s">
        <v>300</v>
      </c>
      <c r="K11" s="27">
        <v>3</v>
      </c>
      <c r="M11" s="422"/>
    </row>
    <row r="12" spans="1:13" ht="24.75" customHeight="1" x14ac:dyDescent="0.35">
      <c r="A12" s="425"/>
      <c r="B12" s="423"/>
      <c r="C12" s="466"/>
      <c r="D12" s="467"/>
      <c r="E12" s="451"/>
      <c r="F12" s="427"/>
      <c r="G12" s="355" t="s">
        <v>271</v>
      </c>
      <c r="H12" s="37" t="s">
        <v>300</v>
      </c>
      <c r="I12" s="25"/>
      <c r="K12" s="27">
        <v>3</v>
      </c>
      <c r="M12" s="422"/>
    </row>
    <row r="13" spans="1:13" ht="24.75" customHeight="1" x14ac:dyDescent="0.35">
      <c r="A13" s="425"/>
      <c r="B13" s="423"/>
      <c r="C13" s="466"/>
      <c r="D13" s="467"/>
      <c r="E13" s="451"/>
      <c r="F13" s="427"/>
      <c r="G13" s="25" t="s">
        <v>40</v>
      </c>
      <c r="H13" s="27" t="s">
        <v>25</v>
      </c>
      <c r="I13" s="27" t="s">
        <v>41</v>
      </c>
      <c r="K13" s="27">
        <v>3</v>
      </c>
      <c r="M13" s="422"/>
    </row>
    <row r="14" spans="1:13" ht="24.75" customHeight="1" x14ac:dyDescent="0.35">
      <c r="A14" s="425"/>
      <c r="B14" s="423"/>
      <c r="C14" s="466"/>
      <c r="D14" s="467"/>
      <c r="E14" s="451"/>
      <c r="F14" s="427"/>
      <c r="G14" s="356" t="s">
        <v>42</v>
      </c>
      <c r="H14" s="27" t="s">
        <v>43</v>
      </c>
      <c r="I14" s="26" t="s">
        <v>95</v>
      </c>
      <c r="K14" s="27">
        <v>6</v>
      </c>
      <c r="M14" s="422"/>
    </row>
    <row r="15" spans="1:13" ht="24.75" customHeight="1" x14ac:dyDescent="0.35">
      <c r="A15" s="425"/>
      <c r="B15" s="423"/>
      <c r="C15" s="466"/>
      <c r="D15" s="467"/>
      <c r="E15" s="451"/>
      <c r="F15" s="427"/>
      <c r="G15" s="25" t="s">
        <v>45</v>
      </c>
      <c r="H15" s="27" t="s">
        <v>38</v>
      </c>
      <c r="I15" s="25"/>
      <c r="J15" s="25"/>
      <c r="K15" s="27">
        <v>3</v>
      </c>
      <c r="M15" s="422"/>
    </row>
    <row r="16" spans="1:13" ht="24.75" customHeight="1" x14ac:dyDescent="0.35">
      <c r="A16" s="425"/>
      <c r="B16" s="423"/>
      <c r="C16" s="466"/>
      <c r="D16" s="467"/>
      <c r="E16" s="451"/>
      <c r="F16" s="427"/>
      <c r="G16" s="25" t="s">
        <v>46</v>
      </c>
      <c r="H16" s="27" t="s">
        <v>38</v>
      </c>
      <c r="I16" s="25"/>
      <c r="J16" s="25"/>
      <c r="K16" s="27">
        <v>6</v>
      </c>
      <c r="M16" s="422"/>
    </row>
    <row r="17" spans="1:13" ht="24.75" customHeight="1" x14ac:dyDescent="0.35">
      <c r="A17" s="425"/>
      <c r="B17" s="423"/>
      <c r="C17" s="466"/>
      <c r="D17" s="467"/>
      <c r="E17" s="451"/>
      <c r="F17" s="427"/>
      <c r="G17" s="25" t="s">
        <v>47</v>
      </c>
      <c r="H17" s="27" t="s">
        <v>48</v>
      </c>
      <c r="K17" s="27">
        <v>3</v>
      </c>
      <c r="M17" s="422"/>
    </row>
    <row r="18" spans="1:13" ht="24.75" customHeight="1" x14ac:dyDescent="0.35">
      <c r="A18" s="425"/>
      <c r="B18" s="423"/>
      <c r="C18" s="466"/>
      <c r="D18" s="467"/>
      <c r="E18" s="451"/>
      <c r="F18" s="427"/>
      <c r="G18" s="25" t="s">
        <v>333</v>
      </c>
      <c r="H18" s="27" t="s">
        <v>48</v>
      </c>
      <c r="K18" s="35">
        <v>6</v>
      </c>
      <c r="M18" s="422"/>
    </row>
    <row r="19" spans="1:13" ht="24.75" customHeight="1" x14ac:dyDescent="0.35">
      <c r="A19" s="425"/>
      <c r="B19" s="423"/>
      <c r="C19" s="466"/>
      <c r="D19" s="467"/>
      <c r="E19" s="451"/>
      <c r="F19" s="427"/>
      <c r="G19" s="25" t="s">
        <v>50</v>
      </c>
      <c r="H19" s="27" t="s">
        <v>34</v>
      </c>
      <c r="K19" s="27">
        <v>3</v>
      </c>
      <c r="M19" s="422"/>
    </row>
    <row r="20" spans="1:13" ht="24.75" customHeight="1" x14ac:dyDescent="0.35">
      <c r="A20" s="425"/>
      <c r="B20" s="423"/>
      <c r="C20" s="466"/>
      <c r="D20" s="467"/>
      <c r="E20" s="451"/>
      <c r="F20" s="427"/>
      <c r="G20" s="25" t="s">
        <v>51</v>
      </c>
      <c r="H20" s="27" t="s">
        <v>34</v>
      </c>
      <c r="K20" s="27">
        <v>3</v>
      </c>
      <c r="M20" s="422"/>
    </row>
    <row r="21" spans="1:13" ht="24" customHeight="1" x14ac:dyDescent="0.35">
      <c r="A21" s="425"/>
      <c r="B21" s="423"/>
      <c r="C21" s="466"/>
      <c r="D21" s="467"/>
      <c r="E21" s="451"/>
      <c r="F21" s="427"/>
      <c r="G21" s="25" t="s">
        <v>52</v>
      </c>
      <c r="H21" s="27" t="s">
        <v>48</v>
      </c>
      <c r="I21" s="27" t="s">
        <v>34</v>
      </c>
      <c r="J21" s="25"/>
      <c r="K21" s="27">
        <v>3</v>
      </c>
      <c r="M21" s="422"/>
    </row>
    <row r="22" spans="1:13" ht="24.75" customHeight="1" x14ac:dyDescent="0.35">
      <c r="A22" s="425"/>
      <c r="B22" s="446" t="s">
        <v>53</v>
      </c>
      <c r="C22" s="424" t="s">
        <v>54</v>
      </c>
      <c r="D22" s="422">
        <f>SUM(J22:K29)</f>
        <v>24</v>
      </c>
      <c r="E22" s="422">
        <v>4</v>
      </c>
      <c r="F22" s="426" t="s">
        <v>23</v>
      </c>
      <c r="G22" s="25" t="s">
        <v>55</v>
      </c>
      <c r="H22" s="27" t="s">
        <v>43</v>
      </c>
      <c r="K22" s="27">
        <v>3</v>
      </c>
      <c r="M22" s="421" t="s">
        <v>96</v>
      </c>
    </row>
    <row r="23" spans="1:13" ht="24.75" customHeight="1" x14ac:dyDescent="0.35">
      <c r="A23" s="425"/>
      <c r="B23" s="447"/>
      <c r="C23" s="425"/>
      <c r="D23" s="422"/>
      <c r="E23" s="422"/>
      <c r="F23" s="427"/>
      <c r="G23" s="25" t="s">
        <v>57</v>
      </c>
      <c r="H23" s="27" t="s">
        <v>43</v>
      </c>
      <c r="K23" s="27">
        <v>3</v>
      </c>
      <c r="M23" s="422"/>
    </row>
    <row r="24" spans="1:13" ht="24.75" customHeight="1" x14ac:dyDescent="0.35">
      <c r="A24" s="425"/>
      <c r="B24" s="447"/>
      <c r="C24" s="425"/>
      <c r="D24" s="422"/>
      <c r="E24" s="422"/>
      <c r="F24" s="427"/>
      <c r="G24" s="25" t="s">
        <v>58</v>
      </c>
      <c r="H24" s="27" t="s">
        <v>43</v>
      </c>
      <c r="K24" s="27">
        <v>3</v>
      </c>
      <c r="M24" s="422"/>
    </row>
    <row r="25" spans="1:13" ht="24.75" customHeight="1" x14ac:dyDescent="0.35">
      <c r="A25" s="425"/>
      <c r="B25" s="447"/>
      <c r="C25" s="425"/>
      <c r="D25" s="422"/>
      <c r="E25" s="422"/>
      <c r="F25" s="427"/>
      <c r="G25" s="25" t="s">
        <v>59</v>
      </c>
      <c r="H25" s="27" t="s">
        <v>41</v>
      </c>
      <c r="I25" s="27" t="s">
        <v>43</v>
      </c>
      <c r="K25" s="27">
        <v>3</v>
      </c>
      <c r="M25" s="422"/>
    </row>
    <row r="26" spans="1:13" ht="24" customHeight="1" x14ac:dyDescent="0.35">
      <c r="A26" s="425"/>
      <c r="B26" s="447"/>
      <c r="C26" s="425"/>
      <c r="D26" s="422"/>
      <c r="E26" s="422"/>
      <c r="F26" s="427"/>
      <c r="G26" s="25" t="s">
        <v>60</v>
      </c>
      <c r="H26" s="27" t="s">
        <v>61</v>
      </c>
      <c r="K26" s="27">
        <v>3</v>
      </c>
      <c r="M26" s="422"/>
    </row>
    <row r="27" spans="1:13" ht="24.75" customHeight="1" x14ac:dyDescent="0.35">
      <c r="A27" s="425"/>
      <c r="B27" s="447"/>
      <c r="C27" s="425"/>
      <c r="D27" s="422"/>
      <c r="E27" s="422"/>
      <c r="F27" s="427"/>
      <c r="G27" s="25" t="s">
        <v>62</v>
      </c>
      <c r="H27" s="27" t="s">
        <v>61</v>
      </c>
      <c r="K27" s="27">
        <v>3</v>
      </c>
      <c r="M27" s="422"/>
    </row>
    <row r="28" spans="1:13" ht="24.75" customHeight="1" x14ac:dyDescent="0.35">
      <c r="A28" s="425"/>
      <c r="B28" s="447"/>
      <c r="C28" s="425"/>
      <c r="D28" s="422"/>
      <c r="E28" s="422"/>
      <c r="F28" s="427"/>
      <c r="G28" s="25" t="s">
        <v>63</v>
      </c>
      <c r="H28" s="27" t="s">
        <v>61</v>
      </c>
      <c r="K28" s="27">
        <v>3</v>
      </c>
      <c r="M28" s="422"/>
    </row>
    <row r="29" spans="1:13" ht="24.75" customHeight="1" x14ac:dyDescent="0.35">
      <c r="A29" s="445"/>
      <c r="B29" s="448"/>
      <c r="C29" s="449"/>
      <c r="D29" s="434"/>
      <c r="E29" s="434"/>
      <c r="F29" s="443"/>
      <c r="G29" s="25" t="s">
        <v>64</v>
      </c>
      <c r="H29" s="27" t="s">
        <v>43</v>
      </c>
      <c r="K29" s="27">
        <v>3</v>
      </c>
      <c r="M29" s="434"/>
    </row>
    <row r="30" spans="1:13" ht="24.75" customHeight="1" x14ac:dyDescent="0.35">
      <c r="A30" s="435" t="s">
        <v>65</v>
      </c>
      <c r="B30" s="436" t="s">
        <v>66</v>
      </c>
      <c r="C30" s="424" t="s">
        <v>67</v>
      </c>
      <c r="D30" s="462">
        <f>SUM(J30:L38)</f>
        <v>42</v>
      </c>
      <c r="E30" s="426">
        <v>6</v>
      </c>
      <c r="F30" s="426" t="s">
        <v>23</v>
      </c>
      <c r="G30" s="25" t="s">
        <v>68</v>
      </c>
      <c r="H30" s="27" t="s">
        <v>38</v>
      </c>
      <c r="J30" s="27">
        <v>3</v>
      </c>
      <c r="M30" s="421" t="s">
        <v>69</v>
      </c>
    </row>
    <row r="31" spans="1:13" ht="24.75" customHeight="1" x14ac:dyDescent="0.35">
      <c r="A31" s="435"/>
      <c r="B31" s="436"/>
      <c r="C31" s="425"/>
      <c r="D31" s="463"/>
      <c r="E31" s="427"/>
      <c r="F31" s="427"/>
      <c r="G31" s="25" t="s">
        <v>332</v>
      </c>
      <c r="H31" s="27" t="s">
        <v>71</v>
      </c>
      <c r="I31" s="27" t="s">
        <v>43</v>
      </c>
      <c r="J31" s="35">
        <v>12</v>
      </c>
      <c r="K31" s="25"/>
      <c r="M31" s="422"/>
    </row>
    <row r="32" spans="1:13" ht="24.75" customHeight="1" x14ac:dyDescent="0.35">
      <c r="A32" s="435"/>
      <c r="B32" s="436"/>
      <c r="C32" s="425"/>
      <c r="D32" s="463"/>
      <c r="E32" s="427"/>
      <c r="F32" s="427"/>
      <c r="G32" s="25" t="s">
        <v>72</v>
      </c>
      <c r="H32" s="27" t="s">
        <v>73</v>
      </c>
      <c r="J32" s="27">
        <v>3</v>
      </c>
      <c r="M32" s="422"/>
    </row>
    <row r="33" spans="1:13" ht="24.75" customHeight="1" x14ac:dyDescent="0.35">
      <c r="A33" s="435"/>
      <c r="B33" s="436"/>
      <c r="C33" s="425"/>
      <c r="D33" s="463"/>
      <c r="E33" s="427"/>
      <c r="F33" s="427"/>
      <c r="G33" s="25" t="s">
        <v>74</v>
      </c>
      <c r="H33" s="27" t="s">
        <v>73</v>
      </c>
      <c r="J33" s="27">
        <v>6</v>
      </c>
      <c r="M33" s="422"/>
    </row>
    <row r="34" spans="1:13" ht="24.75" customHeight="1" x14ac:dyDescent="0.35">
      <c r="A34" s="435"/>
      <c r="B34" s="436"/>
      <c r="C34" s="425"/>
      <c r="D34" s="463"/>
      <c r="E34" s="427"/>
      <c r="F34" s="443"/>
      <c r="G34" s="25" t="s">
        <v>336</v>
      </c>
      <c r="H34" s="26" t="s">
        <v>377</v>
      </c>
      <c r="I34" s="27" t="s">
        <v>43</v>
      </c>
      <c r="J34" s="27">
        <v>6</v>
      </c>
      <c r="K34" s="25"/>
      <c r="M34" s="422"/>
    </row>
    <row r="35" spans="1:13" ht="24.75" customHeight="1" x14ac:dyDescent="0.35">
      <c r="A35" s="435"/>
      <c r="B35" s="444" t="s">
        <v>77</v>
      </c>
      <c r="C35" s="425"/>
      <c r="D35" s="463"/>
      <c r="E35" s="427"/>
      <c r="F35" s="426" t="s">
        <v>23</v>
      </c>
      <c r="G35" s="25" t="s">
        <v>372</v>
      </c>
      <c r="H35" s="27" t="s">
        <v>34</v>
      </c>
      <c r="J35" s="27">
        <v>3</v>
      </c>
      <c r="M35" s="422"/>
    </row>
    <row r="36" spans="1:13" ht="24.75" customHeight="1" x14ac:dyDescent="0.35">
      <c r="A36" s="435"/>
      <c r="B36" s="444"/>
      <c r="C36" s="425"/>
      <c r="D36" s="463"/>
      <c r="E36" s="427"/>
      <c r="F36" s="427"/>
      <c r="G36" s="25" t="s">
        <v>373</v>
      </c>
      <c r="H36" s="27" t="s">
        <v>34</v>
      </c>
      <c r="J36" s="27">
        <v>3</v>
      </c>
      <c r="M36" s="422"/>
    </row>
    <row r="37" spans="1:13" ht="24.75" customHeight="1" x14ac:dyDescent="0.35">
      <c r="A37" s="435"/>
      <c r="B37" s="444"/>
      <c r="C37" s="425"/>
      <c r="D37" s="463"/>
      <c r="E37" s="427"/>
      <c r="F37" s="427"/>
      <c r="G37" s="32" t="s">
        <v>374</v>
      </c>
      <c r="H37" s="27" t="s">
        <v>34</v>
      </c>
      <c r="J37" s="27">
        <v>3</v>
      </c>
      <c r="M37" s="422"/>
    </row>
    <row r="38" spans="1:13" ht="24.75" customHeight="1" x14ac:dyDescent="0.35">
      <c r="A38" s="435"/>
      <c r="B38" s="444"/>
      <c r="C38" s="449"/>
      <c r="D38" s="464"/>
      <c r="E38" s="443"/>
      <c r="F38" s="443"/>
      <c r="G38" s="25" t="s">
        <v>375</v>
      </c>
      <c r="H38" s="27" t="s">
        <v>34</v>
      </c>
      <c r="J38" s="27">
        <v>3</v>
      </c>
      <c r="M38" s="434"/>
    </row>
    <row r="39" spans="1:13" ht="24.75" customHeight="1" x14ac:dyDescent="0.35">
      <c r="A39" s="435"/>
      <c r="B39" s="436" t="s">
        <v>84</v>
      </c>
      <c r="C39" s="435" t="s">
        <v>85</v>
      </c>
      <c r="D39" s="426">
        <f>SUM(J39:L43)</f>
        <v>18</v>
      </c>
      <c r="E39" s="450">
        <v>4</v>
      </c>
      <c r="F39" s="451" t="s">
        <v>23</v>
      </c>
      <c r="G39" s="25" t="s">
        <v>262</v>
      </c>
      <c r="H39" s="27" t="s">
        <v>38</v>
      </c>
      <c r="K39" s="27">
        <v>3</v>
      </c>
      <c r="M39" s="421" t="s">
        <v>86</v>
      </c>
    </row>
    <row r="40" spans="1:13" ht="24.75" customHeight="1" x14ac:dyDescent="0.35">
      <c r="A40" s="435"/>
      <c r="B40" s="436"/>
      <c r="C40" s="435"/>
      <c r="D40" s="427"/>
      <c r="E40" s="450"/>
      <c r="F40" s="451"/>
      <c r="G40" s="25" t="s">
        <v>263</v>
      </c>
      <c r="H40" s="27" t="s">
        <v>38</v>
      </c>
      <c r="K40" s="27">
        <v>3</v>
      </c>
      <c r="M40" s="422"/>
    </row>
    <row r="41" spans="1:13" ht="24.75" customHeight="1" x14ac:dyDescent="0.35">
      <c r="A41" s="435"/>
      <c r="B41" s="436"/>
      <c r="C41" s="435"/>
      <c r="D41" s="427"/>
      <c r="E41" s="450"/>
      <c r="F41" s="451"/>
      <c r="G41" s="25" t="s">
        <v>301</v>
      </c>
      <c r="H41" s="27" t="s">
        <v>38</v>
      </c>
      <c r="K41" s="27">
        <v>3</v>
      </c>
      <c r="M41" s="422"/>
    </row>
    <row r="42" spans="1:13" ht="24.75" customHeight="1" x14ac:dyDescent="0.35">
      <c r="A42" s="435"/>
      <c r="B42" s="436"/>
      <c r="C42" s="435"/>
      <c r="D42" s="427"/>
      <c r="E42" s="450"/>
      <c r="F42" s="451"/>
      <c r="G42" s="25" t="s">
        <v>264</v>
      </c>
      <c r="H42" s="26" t="s">
        <v>95</v>
      </c>
      <c r="K42" s="27">
        <v>3</v>
      </c>
      <c r="M42" s="422"/>
    </row>
    <row r="43" spans="1:13" ht="24.75" customHeight="1" x14ac:dyDescent="0.35">
      <c r="A43" s="435"/>
      <c r="B43" s="436"/>
      <c r="C43" s="435"/>
      <c r="D43" s="427"/>
      <c r="E43" s="450"/>
      <c r="F43" s="451"/>
      <c r="G43" s="25" t="s">
        <v>334</v>
      </c>
      <c r="H43" s="27" t="s">
        <v>88</v>
      </c>
      <c r="K43" s="35">
        <v>6</v>
      </c>
      <c r="M43" s="422"/>
    </row>
    <row r="44" spans="1:13" ht="24.75" customHeight="1" x14ac:dyDescent="0.35">
      <c r="A44" s="424" t="s">
        <v>90</v>
      </c>
      <c r="B44" s="452" t="s">
        <v>106</v>
      </c>
      <c r="C44" s="424" t="s">
        <v>107</v>
      </c>
      <c r="D44" s="426">
        <f>SUM(J44:L54)</f>
        <v>36</v>
      </c>
      <c r="E44" s="428">
        <v>6</v>
      </c>
      <c r="F44" s="24"/>
      <c r="G44" s="25" t="s">
        <v>108</v>
      </c>
      <c r="H44" s="27" t="s">
        <v>109</v>
      </c>
      <c r="L44" s="27">
        <v>3</v>
      </c>
      <c r="M44" s="421" t="s">
        <v>56</v>
      </c>
    </row>
    <row r="45" spans="1:13" ht="24.75" customHeight="1" x14ac:dyDescent="0.35">
      <c r="A45" s="425"/>
      <c r="B45" s="453"/>
      <c r="C45" s="425"/>
      <c r="D45" s="427"/>
      <c r="E45" s="429"/>
      <c r="F45" s="24"/>
      <c r="G45" s="25" t="s">
        <v>113</v>
      </c>
      <c r="H45" s="27" t="s">
        <v>109</v>
      </c>
      <c r="I45" s="24"/>
      <c r="L45" s="27">
        <v>3</v>
      </c>
      <c r="M45" s="422"/>
    </row>
    <row r="46" spans="1:13" ht="24.75" customHeight="1" x14ac:dyDescent="0.35">
      <c r="A46" s="425"/>
      <c r="B46" s="453"/>
      <c r="C46" s="425"/>
      <c r="D46" s="427"/>
      <c r="E46" s="429"/>
      <c r="F46" s="24"/>
      <c r="G46" s="420" t="s">
        <v>376</v>
      </c>
      <c r="H46" s="27" t="s">
        <v>112</v>
      </c>
      <c r="L46" s="27">
        <v>3</v>
      </c>
      <c r="M46" s="422"/>
    </row>
    <row r="47" spans="1:13" ht="24.75" customHeight="1" x14ac:dyDescent="0.35">
      <c r="A47" s="425"/>
      <c r="B47" s="453"/>
      <c r="C47" s="425"/>
      <c r="D47" s="427"/>
      <c r="E47" s="429"/>
      <c r="F47" s="24"/>
      <c r="G47" s="25" t="s">
        <v>114</v>
      </c>
      <c r="H47" s="27" t="s">
        <v>109</v>
      </c>
      <c r="L47" s="27">
        <v>3</v>
      </c>
      <c r="M47" s="422"/>
    </row>
    <row r="48" spans="1:13" ht="24.75" customHeight="1" x14ac:dyDescent="0.35">
      <c r="A48" s="425"/>
      <c r="B48" s="453"/>
      <c r="C48" s="425"/>
      <c r="D48" s="427"/>
      <c r="E48" s="429"/>
      <c r="F48" s="24"/>
      <c r="G48" s="25" t="s">
        <v>115</v>
      </c>
      <c r="H48" s="27" t="s">
        <v>109</v>
      </c>
      <c r="L48" s="27">
        <v>3</v>
      </c>
      <c r="M48" s="422"/>
    </row>
    <row r="49" spans="1:13" ht="24.75" customHeight="1" x14ac:dyDescent="0.35">
      <c r="A49" s="425"/>
      <c r="B49" s="454"/>
      <c r="C49" s="425"/>
      <c r="D49" s="427"/>
      <c r="E49" s="429"/>
      <c r="F49" s="24"/>
      <c r="G49" s="25" t="s">
        <v>116</v>
      </c>
      <c r="H49" s="27" t="s">
        <v>109</v>
      </c>
      <c r="L49" s="27">
        <v>3</v>
      </c>
      <c r="M49" s="422"/>
    </row>
    <row r="50" spans="1:13" ht="24" customHeight="1" x14ac:dyDescent="0.35">
      <c r="A50" s="425"/>
      <c r="B50" s="423" t="s">
        <v>117</v>
      </c>
      <c r="C50" s="425"/>
      <c r="D50" s="427"/>
      <c r="E50" s="429"/>
      <c r="F50" s="430" t="s">
        <v>23</v>
      </c>
      <c r="G50" s="36" t="s">
        <v>118</v>
      </c>
      <c r="H50" s="27" t="s">
        <v>119</v>
      </c>
      <c r="L50" s="33">
        <v>3</v>
      </c>
      <c r="M50" s="422"/>
    </row>
    <row r="51" spans="1:13" ht="24" customHeight="1" x14ac:dyDescent="0.35">
      <c r="A51" s="425"/>
      <c r="B51" s="423"/>
      <c r="C51" s="425"/>
      <c r="D51" s="427"/>
      <c r="E51" s="429"/>
      <c r="F51" s="430"/>
      <c r="G51" s="36" t="s">
        <v>120</v>
      </c>
      <c r="H51" s="27" t="s">
        <v>119</v>
      </c>
      <c r="L51" s="33">
        <v>6</v>
      </c>
      <c r="M51" s="422"/>
    </row>
    <row r="52" spans="1:13" ht="24.75" customHeight="1" x14ac:dyDescent="0.35">
      <c r="A52" s="425"/>
      <c r="B52" s="423"/>
      <c r="C52" s="425"/>
      <c r="D52" s="427"/>
      <c r="E52" s="429"/>
      <c r="F52" s="430"/>
      <c r="G52" s="36" t="s">
        <v>121</v>
      </c>
      <c r="H52" s="27" t="s">
        <v>119</v>
      </c>
      <c r="L52" s="33">
        <v>3</v>
      </c>
      <c r="M52" s="422"/>
    </row>
    <row r="53" spans="1:13" ht="24.75" customHeight="1" x14ac:dyDescent="0.35">
      <c r="A53" s="425"/>
      <c r="B53" s="423"/>
      <c r="C53" s="425"/>
      <c r="D53" s="427"/>
      <c r="E53" s="429"/>
      <c r="F53" s="430"/>
      <c r="G53" s="36" t="s">
        <v>122</v>
      </c>
      <c r="H53" s="27" t="s">
        <v>119</v>
      </c>
      <c r="I53" s="25"/>
      <c r="J53" s="25"/>
      <c r="K53" s="25"/>
      <c r="L53" s="33">
        <v>3</v>
      </c>
      <c r="M53" s="422"/>
    </row>
    <row r="54" spans="1:13" ht="24" customHeight="1" x14ac:dyDescent="0.35">
      <c r="A54" s="425"/>
      <c r="B54" s="423"/>
      <c r="C54" s="449"/>
      <c r="D54" s="443"/>
      <c r="E54" s="461"/>
      <c r="F54" s="430"/>
      <c r="G54" s="25" t="s">
        <v>123</v>
      </c>
      <c r="H54" s="27" t="s">
        <v>119</v>
      </c>
      <c r="I54" s="25"/>
      <c r="J54" s="25"/>
      <c r="K54" s="25"/>
      <c r="L54" s="33">
        <v>3</v>
      </c>
      <c r="M54" s="434"/>
    </row>
    <row r="55" spans="1:13" ht="24.75" customHeight="1" x14ac:dyDescent="0.35">
      <c r="A55" s="425"/>
      <c r="B55" s="446" t="s">
        <v>91</v>
      </c>
      <c r="C55" s="424" t="s">
        <v>92</v>
      </c>
      <c r="D55" s="426">
        <f>SUM(J55:L61)</f>
        <v>24</v>
      </c>
      <c r="E55" s="426">
        <v>4</v>
      </c>
      <c r="F55" s="430" t="s">
        <v>23</v>
      </c>
      <c r="G55" s="25" t="s">
        <v>354</v>
      </c>
      <c r="H55" s="27" t="s">
        <v>101</v>
      </c>
      <c r="I55" s="27" t="s">
        <v>335</v>
      </c>
      <c r="L55" s="33">
        <v>6</v>
      </c>
      <c r="M55" s="421" t="s">
        <v>110</v>
      </c>
    </row>
    <row r="56" spans="1:13" ht="24.75" customHeight="1" x14ac:dyDescent="0.35">
      <c r="A56" s="425"/>
      <c r="B56" s="447"/>
      <c r="C56" s="425"/>
      <c r="D56" s="427"/>
      <c r="E56" s="427"/>
      <c r="F56" s="430"/>
      <c r="G56" s="25" t="s">
        <v>93</v>
      </c>
      <c r="H56" s="27" t="s">
        <v>94</v>
      </c>
      <c r="L56" s="27">
        <v>3</v>
      </c>
      <c r="M56" s="422"/>
    </row>
    <row r="57" spans="1:13" ht="24.75" customHeight="1" x14ac:dyDescent="0.35">
      <c r="A57" s="425"/>
      <c r="B57" s="447"/>
      <c r="C57" s="425"/>
      <c r="D57" s="427"/>
      <c r="E57" s="427"/>
      <c r="F57" s="430"/>
      <c r="G57" s="25" t="s">
        <v>97</v>
      </c>
      <c r="H57" s="27" t="s">
        <v>94</v>
      </c>
      <c r="L57" s="27">
        <v>3</v>
      </c>
      <c r="M57" s="422"/>
    </row>
    <row r="58" spans="1:13" ht="24.75" customHeight="1" x14ac:dyDescent="0.35">
      <c r="A58" s="425"/>
      <c r="B58" s="447"/>
      <c r="C58" s="425"/>
      <c r="D58" s="427"/>
      <c r="E58" s="427"/>
      <c r="F58" s="430"/>
      <c r="G58" s="25" t="s">
        <v>98</v>
      </c>
      <c r="H58" s="27" t="s">
        <v>94</v>
      </c>
      <c r="L58" s="27">
        <v>3</v>
      </c>
      <c r="M58" s="422"/>
    </row>
    <row r="59" spans="1:13" ht="24.75" customHeight="1" x14ac:dyDescent="0.35">
      <c r="A59" s="425"/>
      <c r="B59" s="447"/>
      <c r="C59" s="425"/>
      <c r="D59" s="427"/>
      <c r="E59" s="427"/>
      <c r="F59" s="430"/>
      <c r="G59" s="25" t="s">
        <v>99</v>
      </c>
      <c r="H59" s="27" t="s">
        <v>94</v>
      </c>
      <c r="L59" s="27">
        <v>3</v>
      </c>
      <c r="M59" s="422"/>
    </row>
    <row r="60" spans="1:13" ht="24.75" customHeight="1" x14ac:dyDescent="0.35">
      <c r="A60" s="425"/>
      <c r="B60" s="447"/>
      <c r="C60" s="425"/>
      <c r="D60" s="427"/>
      <c r="E60" s="427"/>
      <c r="F60" s="430"/>
      <c r="G60" s="25" t="s">
        <v>103</v>
      </c>
      <c r="H60" s="27" t="s">
        <v>94</v>
      </c>
      <c r="J60" s="25"/>
      <c r="L60" s="33">
        <v>3</v>
      </c>
      <c r="M60" s="422"/>
    </row>
    <row r="61" spans="1:13" ht="24.75" customHeight="1" x14ac:dyDescent="0.35">
      <c r="A61" s="449"/>
      <c r="B61" s="447"/>
      <c r="C61" s="425"/>
      <c r="D61" s="427"/>
      <c r="E61" s="427"/>
      <c r="F61" s="430"/>
      <c r="G61" s="25" t="s">
        <v>104</v>
      </c>
      <c r="H61" s="27" t="s">
        <v>94</v>
      </c>
      <c r="L61" s="33">
        <v>3</v>
      </c>
      <c r="M61" s="434"/>
    </row>
    <row r="62" spans="1:13" ht="24.75" customHeight="1" x14ac:dyDescent="0.35">
      <c r="A62" s="424" t="s">
        <v>124</v>
      </c>
      <c r="B62" s="446" t="s">
        <v>125</v>
      </c>
      <c r="C62" s="424" t="s">
        <v>124</v>
      </c>
      <c r="D62" s="426">
        <f>SUM(J62:L63)</f>
        <v>30</v>
      </c>
      <c r="E62" s="426">
        <v>6</v>
      </c>
      <c r="F62" s="426" t="s">
        <v>23</v>
      </c>
      <c r="G62" s="197" t="s">
        <v>365</v>
      </c>
      <c r="H62" s="27" t="s">
        <v>43</v>
      </c>
      <c r="J62" s="27">
        <v>6</v>
      </c>
      <c r="M62" s="458" t="s">
        <v>364</v>
      </c>
    </row>
    <row r="63" spans="1:13" ht="24.75" customHeight="1" x14ac:dyDescent="0.35">
      <c r="A63" s="425"/>
      <c r="B63" s="447"/>
      <c r="C63" s="425"/>
      <c r="D63" s="427"/>
      <c r="E63" s="427"/>
      <c r="F63" s="427"/>
      <c r="G63" s="356" t="s">
        <v>356</v>
      </c>
      <c r="H63" s="27" t="s">
        <v>129</v>
      </c>
      <c r="I63" s="27" t="s">
        <v>43</v>
      </c>
      <c r="J63" s="27">
        <v>9</v>
      </c>
      <c r="K63" s="27">
        <v>9</v>
      </c>
      <c r="L63" s="35">
        <v>6</v>
      </c>
      <c r="M63" s="458"/>
    </row>
    <row r="64" spans="1:13" ht="24.75" customHeight="1" x14ac:dyDescent="0.35">
      <c r="A64" s="424" t="s">
        <v>130</v>
      </c>
      <c r="B64" s="446" t="s">
        <v>131</v>
      </c>
      <c r="C64" s="424" t="s">
        <v>132</v>
      </c>
      <c r="D64" s="426">
        <f>SUM(J64:L75)</f>
        <v>66</v>
      </c>
      <c r="E64" s="459">
        <v>20</v>
      </c>
      <c r="F64" s="426" t="s">
        <v>23</v>
      </c>
      <c r="G64" s="25" t="s">
        <v>133</v>
      </c>
      <c r="H64" s="27" t="s">
        <v>129</v>
      </c>
      <c r="I64" s="27" t="s">
        <v>43</v>
      </c>
      <c r="J64" s="27">
        <v>3</v>
      </c>
      <c r="M64" s="421" t="s">
        <v>134</v>
      </c>
    </row>
    <row r="65" spans="1:13" ht="24.75" customHeight="1" x14ac:dyDescent="0.35">
      <c r="A65" s="425"/>
      <c r="B65" s="447"/>
      <c r="C65" s="425"/>
      <c r="D65" s="427"/>
      <c r="E65" s="460"/>
      <c r="F65" s="427"/>
      <c r="G65" s="25" t="s">
        <v>135</v>
      </c>
      <c r="H65" s="27" t="s">
        <v>129</v>
      </c>
      <c r="I65" s="27" t="s">
        <v>43</v>
      </c>
      <c r="J65" s="27">
        <v>3</v>
      </c>
      <c r="M65" s="422"/>
    </row>
    <row r="66" spans="1:13" ht="24.75" customHeight="1" x14ac:dyDescent="0.35">
      <c r="A66" s="425"/>
      <c r="B66" s="447"/>
      <c r="C66" s="425"/>
      <c r="D66" s="427"/>
      <c r="E66" s="460"/>
      <c r="F66" s="427"/>
      <c r="G66" s="25" t="s">
        <v>136</v>
      </c>
      <c r="H66" s="27" t="s">
        <v>101</v>
      </c>
      <c r="J66" s="27">
        <v>3</v>
      </c>
      <c r="M66" s="422"/>
    </row>
    <row r="67" spans="1:13" ht="24.75" customHeight="1" x14ac:dyDescent="0.35">
      <c r="A67" s="425"/>
      <c r="B67" s="447"/>
      <c r="C67" s="425"/>
      <c r="D67" s="427"/>
      <c r="E67" s="460"/>
      <c r="F67" s="427"/>
      <c r="G67" s="31" t="s">
        <v>137</v>
      </c>
      <c r="H67" s="27" t="s">
        <v>138</v>
      </c>
      <c r="J67" s="27">
        <v>3</v>
      </c>
      <c r="M67" s="422"/>
    </row>
    <row r="68" spans="1:13" ht="24.75" customHeight="1" x14ac:dyDescent="0.35">
      <c r="A68" s="425"/>
      <c r="B68" s="447"/>
      <c r="C68" s="425"/>
      <c r="D68" s="427"/>
      <c r="E68" s="460"/>
      <c r="F68" s="427"/>
      <c r="G68" s="31" t="s">
        <v>139</v>
      </c>
      <c r="H68" s="27" t="s">
        <v>138</v>
      </c>
      <c r="J68" s="27">
        <v>3</v>
      </c>
      <c r="M68" s="422"/>
    </row>
    <row r="69" spans="1:13" ht="24.75" customHeight="1" x14ac:dyDescent="0.35">
      <c r="A69" s="425"/>
      <c r="B69" s="447"/>
      <c r="C69" s="425"/>
      <c r="D69" s="427"/>
      <c r="E69" s="460"/>
      <c r="F69" s="427"/>
      <c r="G69" s="25" t="s">
        <v>140</v>
      </c>
      <c r="H69" s="27" t="s">
        <v>129</v>
      </c>
      <c r="I69" s="27" t="s">
        <v>43</v>
      </c>
      <c r="J69" s="27">
        <v>6</v>
      </c>
      <c r="M69" s="422"/>
    </row>
    <row r="70" spans="1:13" ht="24" customHeight="1" x14ac:dyDescent="0.35">
      <c r="A70" s="425"/>
      <c r="B70" s="447"/>
      <c r="C70" s="425"/>
      <c r="D70" s="427"/>
      <c r="E70" s="460"/>
      <c r="F70" s="427"/>
      <c r="G70" s="25" t="s">
        <v>141</v>
      </c>
      <c r="H70" s="27" t="s">
        <v>129</v>
      </c>
      <c r="I70" s="27" t="s">
        <v>43</v>
      </c>
      <c r="J70" s="27">
        <v>3</v>
      </c>
      <c r="M70" s="422"/>
    </row>
    <row r="71" spans="1:13" ht="24" customHeight="1" x14ac:dyDescent="0.35">
      <c r="A71" s="425"/>
      <c r="B71" s="447"/>
      <c r="C71" s="425"/>
      <c r="D71" s="427"/>
      <c r="E71" s="460"/>
      <c r="F71" s="427"/>
      <c r="G71" s="25" t="s">
        <v>142</v>
      </c>
      <c r="H71" s="27" t="s">
        <v>43</v>
      </c>
      <c r="J71" s="27">
        <v>3</v>
      </c>
      <c r="M71" s="422"/>
    </row>
    <row r="72" spans="1:13" ht="24" customHeight="1" x14ac:dyDescent="0.35">
      <c r="A72" s="425"/>
      <c r="B72" s="447"/>
      <c r="C72" s="425"/>
      <c r="D72" s="427"/>
      <c r="E72" s="460"/>
      <c r="F72" s="427"/>
      <c r="G72" s="25" t="s">
        <v>143</v>
      </c>
      <c r="H72" s="27" t="s">
        <v>43</v>
      </c>
      <c r="J72" s="27">
        <v>3</v>
      </c>
      <c r="M72" s="422"/>
    </row>
    <row r="73" spans="1:13" ht="24.75" customHeight="1" x14ac:dyDescent="0.35">
      <c r="A73" s="425"/>
      <c r="B73" s="447"/>
      <c r="C73" s="425"/>
      <c r="D73" s="427"/>
      <c r="E73" s="460"/>
      <c r="F73" s="427"/>
      <c r="G73" s="25" t="s">
        <v>144</v>
      </c>
      <c r="H73" s="27" t="s">
        <v>129</v>
      </c>
      <c r="I73" s="27" t="s">
        <v>43</v>
      </c>
      <c r="K73" s="27">
        <v>6</v>
      </c>
      <c r="L73" s="27">
        <v>6</v>
      </c>
      <c r="M73" s="422"/>
    </row>
    <row r="74" spans="1:13" ht="24.75" customHeight="1" x14ac:dyDescent="0.35">
      <c r="A74" s="425"/>
      <c r="B74" s="447"/>
      <c r="C74" s="425"/>
      <c r="D74" s="427"/>
      <c r="E74" s="460"/>
      <c r="F74" s="427"/>
      <c r="G74" s="25" t="s">
        <v>145</v>
      </c>
      <c r="H74" s="27" t="s">
        <v>331</v>
      </c>
      <c r="I74" s="27" t="s">
        <v>43</v>
      </c>
      <c r="L74" s="27">
        <v>12</v>
      </c>
      <c r="M74" s="422"/>
    </row>
    <row r="75" spans="1:13" ht="24.75" customHeight="1" x14ac:dyDescent="0.35">
      <c r="A75" s="425"/>
      <c r="B75" s="447"/>
      <c r="C75" s="425"/>
      <c r="D75" s="427"/>
      <c r="E75" s="460"/>
      <c r="F75" s="427"/>
      <c r="G75" s="25" t="s">
        <v>147</v>
      </c>
      <c r="H75" s="37" t="s">
        <v>148</v>
      </c>
      <c r="I75" s="37" t="s">
        <v>149</v>
      </c>
      <c r="L75" s="27">
        <v>12</v>
      </c>
      <c r="M75" s="434"/>
    </row>
    <row r="76" spans="1:13" x14ac:dyDescent="0.35">
      <c r="D76" s="39">
        <f>SUM(D3:D74)</f>
        <v>309</v>
      </c>
      <c r="E76" s="40">
        <f>SUM(E3:E75)</f>
        <v>60</v>
      </c>
      <c r="H76" s="25"/>
      <c r="I76" s="41" t="s">
        <v>150</v>
      </c>
      <c r="J76" s="39">
        <f>SUM(J3:J75)</f>
        <v>108</v>
      </c>
      <c r="K76" s="39">
        <f>SUM(K3:K75)</f>
        <v>105</v>
      </c>
      <c r="L76" s="39">
        <f>SUM(L3:L75)</f>
        <v>96</v>
      </c>
      <c r="M76" s="39">
        <f>SUM(J76:L76)</f>
        <v>309</v>
      </c>
    </row>
    <row r="77" spans="1:13" x14ac:dyDescent="0.35">
      <c r="H77" s="25"/>
      <c r="I77" s="41" t="s">
        <v>151</v>
      </c>
      <c r="J77" s="39">
        <f>J76/3</f>
        <v>36</v>
      </c>
      <c r="K77" s="39">
        <f>K76/3</f>
        <v>35</v>
      </c>
      <c r="L77" s="39">
        <f>L76/3</f>
        <v>32</v>
      </c>
      <c r="M77" s="39">
        <f>M76/3</f>
        <v>103</v>
      </c>
    </row>
    <row r="78" spans="1:13" x14ac:dyDescent="0.35">
      <c r="D78" s="43"/>
      <c r="G78" s="44" t="s">
        <v>152</v>
      </c>
    </row>
    <row r="79" spans="1:13" x14ac:dyDescent="0.35">
      <c r="G79" s="45" t="s">
        <v>153</v>
      </c>
      <c r="M79" s="27"/>
    </row>
    <row r="80" spans="1:13" x14ac:dyDescent="0.35">
      <c r="G80" s="46" t="s">
        <v>154</v>
      </c>
    </row>
  </sheetData>
  <mergeCells count="62">
    <mergeCell ref="D22:D29"/>
    <mergeCell ref="E22:E29"/>
    <mergeCell ref="A3:A29"/>
    <mergeCell ref="B3:B8"/>
    <mergeCell ref="C3:C8"/>
    <mergeCell ref="B22:B29"/>
    <mergeCell ref="C22:C29"/>
    <mergeCell ref="M3:M8"/>
    <mergeCell ref="B9:B21"/>
    <mergeCell ref="C9:C21"/>
    <mergeCell ref="D9:D21"/>
    <mergeCell ref="E9:E21"/>
    <mergeCell ref="F9:F21"/>
    <mergeCell ref="M9:M21"/>
    <mergeCell ref="F3:F8"/>
    <mergeCell ref="D3:D8"/>
    <mergeCell ref="E3:E8"/>
    <mergeCell ref="M22:M29"/>
    <mergeCell ref="F22:F29"/>
    <mergeCell ref="A30:A43"/>
    <mergeCell ref="B30:B34"/>
    <mergeCell ref="C30:C38"/>
    <mergeCell ref="D30:D38"/>
    <mergeCell ref="E30:E38"/>
    <mergeCell ref="F30:F34"/>
    <mergeCell ref="M30:M38"/>
    <mergeCell ref="B35:B38"/>
    <mergeCell ref="F35:F38"/>
    <mergeCell ref="B39:B43"/>
    <mergeCell ref="C39:C43"/>
    <mergeCell ref="D39:D43"/>
    <mergeCell ref="E39:E43"/>
    <mergeCell ref="F39:F43"/>
    <mergeCell ref="M39:M43"/>
    <mergeCell ref="B44:B49"/>
    <mergeCell ref="C44:C54"/>
    <mergeCell ref="D44:D54"/>
    <mergeCell ref="E44:E54"/>
    <mergeCell ref="M44:M54"/>
    <mergeCell ref="B50:B54"/>
    <mergeCell ref="F50:F54"/>
    <mergeCell ref="M55:M61"/>
    <mergeCell ref="M62:M63"/>
    <mergeCell ref="A64:A75"/>
    <mergeCell ref="B64:B75"/>
    <mergeCell ref="C64:C75"/>
    <mergeCell ref="D64:D75"/>
    <mergeCell ref="E64:E75"/>
    <mergeCell ref="F64:F75"/>
    <mergeCell ref="M64:M75"/>
    <mergeCell ref="A62:A63"/>
    <mergeCell ref="B62:B63"/>
    <mergeCell ref="C62:C63"/>
    <mergeCell ref="D62:D63"/>
    <mergeCell ref="E62:E63"/>
    <mergeCell ref="F62:F63"/>
    <mergeCell ref="A44:A61"/>
    <mergeCell ref="B55:B61"/>
    <mergeCell ref="C55:C61"/>
    <mergeCell ref="D55:D61"/>
    <mergeCell ref="E55:E61"/>
    <mergeCell ref="F55:F61"/>
  </mergeCells>
  <phoneticPr fontId="7"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880E-11F5-4BCA-A84A-4DAF095CECEA}">
  <dimension ref="A1:M288"/>
  <sheetViews>
    <sheetView tabSelected="1" topLeftCell="A52" zoomScale="120" zoomScaleNormal="120" workbookViewId="0">
      <selection activeCell="G69" sqref="G69"/>
    </sheetView>
  </sheetViews>
  <sheetFormatPr baseColWidth="10" defaultColWidth="11.453125" defaultRowHeight="12" x14ac:dyDescent="0.3"/>
  <cols>
    <col min="1" max="1" width="5.453125" style="153" customWidth="1"/>
    <col min="2" max="2" width="12.08984375" style="154" customWidth="1"/>
    <col min="3" max="3" width="6.81640625" style="173" customWidth="1"/>
    <col min="4" max="4" width="6.26953125" style="173" customWidth="1"/>
    <col min="5" max="5" width="8.08984375" style="173" customWidth="1"/>
    <col min="6" max="6" width="47.1796875" style="69" bestFit="1" customWidth="1"/>
    <col min="7" max="7" width="65.54296875" style="69" bestFit="1" customWidth="1"/>
    <col min="8" max="8" width="19.1796875" style="373" bestFit="1" customWidth="1"/>
    <col min="9" max="9" width="15.453125" style="374" bestFit="1" customWidth="1"/>
    <col min="10" max="10" width="13.36328125" style="69" bestFit="1" customWidth="1"/>
    <col min="11" max="12" width="9" style="374" bestFit="1" customWidth="1"/>
    <col min="13" max="13" width="34.1796875" style="69" bestFit="1" customWidth="1"/>
    <col min="14" max="16384" width="11.453125" style="69"/>
  </cols>
  <sheetData>
    <row r="1" spans="1:13" s="416" customFormat="1" ht="26" customHeight="1" x14ac:dyDescent="0.3">
      <c r="A1" s="409" t="s">
        <v>302</v>
      </c>
      <c r="B1" s="410" t="s">
        <v>303</v>
      </c>
      <c r="C1" s="419" t="s">
        <v>304</v>
      </c>
      <c r="D1" s="419" t="s">
        <v>305</v>
      </c>
      <c r="E1" s="411" t="s">
        <v>306</v>
      </c>
      <c r="F1" s="410" t="s">
        <v>307</v>
      </c>
      <c r="G1" s="410" t="s">
        <v>308</v>
      </c>
      <c r="H1" s="410" t="s">
        <v>309</v>
      </c>
      <c r="I1" s="410" t="s">
        <v>310</v>
      </c>
      <c r="J1" s="411" t="s">
        <v>357</v>
      </c>
      <c r="K1" s="411" t="s">
        <v>359</v>
      </c>
      <c r="L1" s="411" t="s">
        <v>360</v>
      </c>
      <c r="M1" s="411" t="s">
        <v>358</v>
      </c>
    </row>
    <row r="2" spans="1:13" ht="14" customHeight="1" x14ac:dyDescent="0.3">
      <c r="A2" s="75">
        <v>4</v>
      </c>
      <c r="B2" s="89">
        <v>45925</v>
      </c>
      <c r="C2" s="78"/>
      <c r="D2" s="79"/>
      <c r="E2" s="80"/>
      <c r="F2" s="76"/>
      <c r="G2" s="76"/>
      <c r="H2" s="76"/>
      <c r="I2" s="76"/>
      <c r="J2" s="76"/>
      <c r="K2" s="85">
        <f>SUM(K3:K284)</f>
        <v>103</v>
      </c>
      <c r="L2" s="85">
        <f>SUM(L3:L284)</f>
        <v>103</v>
      </c>
      <c r="M2" s="172"/>
    </row>
    <row r="3" spans="1:13" ht="14" customHeight="1" x14ac:dyDescent="0.3">
      <c r="A3" s="90">
        <v>5</v>
      </c>
      <c r="B3" s="91">
        <v>45926</v>
      </c>
      <c r="C3" s="408">
        <v>0.75</v>
      </c>
      <c r="D3" s="408">
        <v>0.875</v>
      </c>
      <c r="E3" s="408">
        <v>0.125</v>
      </c>
      <c r="F3" s="418" t="s">
        <v>132</v>
      </c>
      <c r="G3" s="357" t="s">
        <v>243</v>
      </c>
      <c r="H3" s="364" t="s">
        <v>129</v>
      </c>
      <c r="I3" s="364" t="s">
        <v>316</v>
      </c>
      <c r="J3" s="92"/>
      <c r="K3" s="414">
        <v>1</v>
      </c>
      <c r="L3" s="414"/>
      <c r="M3" s="68"/>
    </row>
    <row r="4" spans="1:13" ht="14" customHeight="1" x14ac:dyDescent="0.3">
      <c r="A4" s="75">
        <v>6</v>
      </c>
      <c r="B4" s="89">
        <v>45927</v>
      </c>
      <c r="C4" s="78"/>
      <c r="D4" s="79"/>
      <c r="E4" s="93"/>
      <c r="F4" s="76"/>
      <c r="G4" s="94"/>
      <c r="H4" s="76"/>
      <c r="I4" s="76"/>
      <c r="J4" s="76"/>
      <c r="K4" s="77"/>
      <c r="L4" s="77"/>
      <c r="M4" s="172"/>
    </row>
    <row r="5" spans="1:13" ht="14" customHeight="1" x14ac:dyDescent="0.3">
      <c r="A5" s="81">
        <v>7</v>
      </c>
      <c r="B5" s="82">
        <v>45928</v>
      </c>
      <c r="C5" s="83"/>
      <c r="D5" s="95"/>
      <c r="E5" s="96"/>
      <c r="F5" s="84"/>
      <c r="G5" s="97"/>
      <c r="H5" s="84"/>
      <c r="I5" s="84"/>
      <c r="J5" s="84"/>
      <c r="K5" s="359"/>
      <c r="L5" s="359"/>
      <c r="M5" s="184"/>
    </row>
    <row r="6" spans="1:13" s="101" customFormat="1" x14ac:dyDescent="0.3">
      <c r="A6" s="98">
        <v>1</v>
      </c>
      <c r="B6" s="99">
        <v>45929</v>
      </c>
      <c r="C6" s="396"/>
      <c r="D6" s="396"/>
      <c r="E6" s="396"/>
      <c r="F6" s="384"/>
      <c r="G6" s="149"/>
      <c r="H6" s="365"/>
      <c r="I6" s="178"/>
      <c r="J6" s="178"/>
      <c r="K6" s="178"/>
      <c r="L6" s="178"/>
      <c r="M6" s="129"/>
    </row>
    <row r="7" spans="1:13" s="101" customFormat="1" x14ac:dyDescent="0.3">
      <c r="A7" s="98">
        <v>2</v>
      </c>
      <c r="B7" s="99">
        <v>45930</v>
      </c>
      <c r="C7" s="396">
        <v>0.75</v>
      </c>
      <c r="D7" s="396">
        <v>0.875</v>
      </c>
      <c r="E7" s="396">
        <v>0.125</v>
      </c>
      <c r="F7" s="379" t="s">
        <v>132</v>
      </c>
      <c r="G7" s="379" t="s">
        <v>135</v>
      </c>
      <c r="H7" s="376" t="s">
        <v>129</v>
      </c>
      <c r="I7" s="178" t="s">
        <v>316</v>
      </c>
      <c r="J7" s="178"/>
      <c r="K7" s="178">
        <v>1</v>
      </c>
      <c r="L7" s="178"/>
      <c r="M7" s="129"/>
    </row>
    <row r="8" spans="1:13" s="86" customFormat="1" x14ac:dyDescent="0.3">
      <c r="A8" s="102">
        <v>3</v>
      </c>
      <c r="B8" s="99">
        <v>45931</v>
      </c>
      <c r="C8" s="169"/>
      <c r="D8" s="169"/>
      <c r="E8" s="169"/>
      <c r="F8" s="387"/>
      <c r="G8" s="149"/>
      <c r="H8" s="365"/>
      <c r="I8" s="178"/>
      <c r="J8" s="178"/>
      <c r="K8" s="178"/>
      <c r="L8" s="178"/>
      <c r="M8" s="129"/>
    </row>
    <row r="9" spans="1:13" x14ac:dyDescent="0.3">
      <c r="A9" s="104">
        <v>4</v>
      </c>
      <c r="B9" s="99">
        <v>45932</v>
      </c>
      <c r="C9" s="468" t="s">
        <v>241</v>
      </c>
      <c r="D9" s="469"/>
      <c r="E9" s="397"/>
      <c r="F9" s="105" t="s">
        <v>156</v>
      </c>
      <c r="G9" s="375" t="s">
        <v>242</v>
      </c>
      <c r="H9" s="366"/>
      <c r="I9" s="367"/>
      <c r="J9" s="358"/>
      <c r="K9" s="412"/>
      <c r="L9" s="412"/>
      <c r="M9" s="187"/>
    </row>
    <row r="10" spans="1:13" x14ac:dyDescent="0.3">
      <c r="A10" s="104">
        <v>5</v>
      </c>
      <c r="B10" s="99">
        <v>45933</v>
      </c>
      <c r="C10" s="175">
        <v>0.66666666666666663</v>
      </c>
      <c r="D10" s="175">
        <v>0.79166666666666663</v>
      </c>
      <c r="E10" s="175">
        <v>0.125</v>
      </c>
      <c r="F10" s="379" t="s">
        <v>132</v>
      </c>
      <c r="G10" s="379" t="s">
        <v>244</v>
      </c>
      <c r="H10" s="368" t="s">
        <v>101</v>
      </c>
      <c r="I10" s="77"/>
      <c r="J10" s="77"/>
      <c r="K10" s="77">
        <v>1</v>
      </c>
      <c r="L10" s="77"/>
      <c r="M10" s="120"/>
    </row>
    <row r="11" spans="1:13" x14ac:dyDescent="0.3">
      <c r="A11" s="104">
        <v>6</v>
      </c>
      <c r="B11" s="99">
        <v>45934</v>
      </c>
      <c r="C11" s="175"/>
      <c r="D11" s="175"/>
      <c r="E11" s="398"/>
      <c r="F11" s="170"/>
      <c r="G11" s="150"/>
      <c r="H11" s="368"/>
      <c r="I11" s="77"/>
      <c r="J11" s="77"/>
      <c r="K11" s="77"/>
      <c r="L11" s="77"/>
      <c r="M11" s="120"/>
    </row>
    <row r="12" spans="1:13" x14ac:dyDescent="0.3">
      <c r="A12" s="109">
        <v>7</v>
      </c>
      <c r="B12" s="110">
        <v>45935</v>
      </c>
      <c r="C12" s="399"/>
      <c r="D12" s="399"/>
      <c r="E12" s="400"/>
      <c r="F12" s="388"/>
      <c r="G12" s="383"/>
      <c r="H12" s="369"/>
      <c r="I12" s="359"/>
      <c r="J12" s="359"/>
      <c r="K12" s="359"/>
      <c r="L12" s="359"/>
      <c r="M12" s="121"/>
    </row>
    <row r="13" spans="1:13" x14ac:dyDescent="0.3">
      <c r="A13" s="104">
        <v>1</v>
      </c>
      <c r="B13" s="113">
        <v>45936</v>
      </c>
      <c r="C13" s="175"/>
      <c r="D13" s="175"/>
      <c r="E13" s="175"/>
      <c r="F13" s="150"/>
      <c r="G13" s="150"/>
      <c r="H13" s="368"/>
      <c r="I13" s="77"/>
      <c r="J13" s="77"/>
      <c r="K13" s="77"/>
      <c r="L13" s="77"/>
      <c r="M13" s="120"/>
    </row>
    <row r="14" spans="1:13" x14ac:dyDescent="0.3">
      <c r="A14" s="104">
        <v>2</v>
      </c>
      <c r="B14" s="113">
        <v>45937</v>
      </c>
      <c r="C14" s="175">
        <v>0.75</v>
      </c>
      <c r="D14" s="175">
        <v>0.875</v>
      </c>
      <c r="E14" s="175">
        <v>0.125</v>
      </c>
      <c r="F14" s="379" t="s">
        <v>132</v>
      </c>
      <c r="G14" s="150" t="s">
        <v>137</v>
      </c>
      <c r="H14" s="377" t="s">
        <v>320</v>
      </c>
      <c r="I14" s="77"/>
      <c r="J14" s="77" t="s">
        <v>157</v>
      </c>
      <c r="K14" s="77">
        <v>1</v>
      </c>
      <c r="L14" s="77"/>
      <c r="M14" s="120"/>
    </row>
    <row r="15" spans="1:13" x14ac:dyDescent="0.3">
      <c r="A15" s="104">
        <v>3</v>
      </c>
      <c r="B15" s="113">
        <v>45938</v>
      </c>
      <c r="C15" s="175"/>
      <c r="D15" s="175"/>
      <c r="E15" s="175"/>
      <c r="F15" s="172"/>
      <c r="G15" s="172"/>
      <c r="H15" s="368"/>
      <c r="I15" s="77"/>
      <c r="J15" s="77"/>
      <c r="K15" s="77"/>
      <c r="L15" s="77"/>
      <c r="M15" s="120"/>
    </row>
    <row r="16" spans="1:13" s="86" customFormat="1" x14ac:dyDescent="0.3">
      <c r="A16" s="102">
        <v>4</v>
      </c>
      <c r="B16" s="113">
        <v>45939</v>
      </c>
      <c r="C16" s="169">
        <v>0.75</v>
      </c>
      <c r="D16" s="169">
        <v>0.875</v>
      </c>
      <c r="E16" s="169">
        <v>0.125</v>
      </c>
      <c r="F16" s="379" t="s">
        <v>132</v>
      </c>
      <c r="G16" s="379" t="s">
        <v>139</v>
      </c>
      <c r="H16" s="368" t="s">
        <v>320</v>
      </c>
      <c r="I16" s="178"/>
      <c r="J16" s="178" t="s">
        <v>157</v>
      </c>
      <c r="K16" s="178">
        <v>1</v>
      </c>
      <c r="L16" s="178"/>
      <c r="M16" s="129"/>
    </row>
    <row r="17" spans="1:13" x14ac:dyDescent="0.3">
      <c r="A17" s="104">
        <v>5</v>
      </c>
      <c r="B17" s="113">
        <v>45940</v>
      </c>
      <c r="C17" s="175">
        <v>0.66666666666666663</v>
      </c>
      <c r="D17" s="175">
        <v>0.79166666666666663</v>
      </c>
      <c r="E17" s="175">
        <v>0.125</v>
      </c>
      <c r="F17" s="379" t="s">
        <v>124</v>
      </c>
      <c r="G17" s="379" t="s">
        <v>343</v>
      </c>
      <c r="H17" s="368" t="s">
        <v>316</v>
      </c>
      <c r="I17" s="77"/>
      <c r="J17" s="77"/>
      <c r="K17" s="77">
        <v>1</v>
      </c>
      <c r="L17" s="77"/>
      <c r="M17" s="120"/>
    </row>
    <row r="18" spans="1:13" s="86" customFormat="1" x14ac:dyDescent="0.3">
      <c r="A18" s="70">
        <v>6</v>
      </c>
      <c r="B18" s="71">
        <v>45941</v>
      </c>
      <c r="C18" s="72"/>
      <c r="D18" s="73"/>
      <c r="E18" s="74"/>
      <c r="F18" s="156"/>
      <c r="G18" s="74"/>
      <c r="H18" s="74"/>
      <c r="I18" s="74"/>
      <c r="J18" s="74"/>
      <c r="K18" s="178"/>
      <c r="L18" s="178"/>
      <c r="M18" s="147"/>
    </row>
    <row r="19" spans="1:13" x14ac:dyDescent="0.3">
      <c r="A19" s="109">
        <v>7</v>
      </c>
      <c r="B19" s="114">
        <v>45942</v>
      </c>
      <c r="C19" s="399"/>
      <c r="D19" s="399"/>
      <c r="E19" s="401"/>
      <c r="F19" s="382"/>
      <c r="G19" s="383"/>
      <c r="H19" s="369"/>
      <c r="I19" s="359"/>
      <c r="J19" s="359"/>
      <c r="K19" s="359"/>
      <c r="L19" s="359"/>
      <c r="M19" s="121"/>
    </row>
    <row r="20" spans="1:13" x14ac:dyDescent="0.3">
      <c r="A20" s="104">
        <v>1</v>
      </c>
      <c r="B20" s="113">
        <v>45943</v>
      </c>
      <c r="C20" s="175"/>
      <c r="D20" s="175"/>
      <c r="E20" s="175"/>
      <c r="F20" s="155"/>
      <c r="G20" s="150"/>
      <c r="H20" s="368"/>
      <c r="I20" s="77"/>
      <c r="J20" s="77"/>
      <c r="K20" s="77"/>
      <c r="L20" s="77"/>
      <c r="M20" s="120"/>
    </row>
    <row r="21" spans="1:13" x14ac:dyDescent="0.3">
      <c r="A21" s="104">
        <v>2</v>
      </c>
      <c r="B21" s="113">
        <v>45944</v>
      </c>
      <c r="C21" s="175">
        <v>0.75</v>
      </c>
      <c r="D21" s="175">
        <v>0.875</v>
      </c>
      <c r="E21" s="175">
        <v>0.125</v>
      </c>
      <c r="F21" s="379" t="s">
        <v>124</v>
      </c>
      <c r="G21" s="379" t="s">
        <v>344</v>
      </c>
      <c r="H21" s="368" t="s">
        <v>316</v>
      </c>
      <c r="I21" s="77"/>
      <c r="J21" s="77"/>
      <c r="K21" s="77">
        <v>1</v>
      </c>
      <c r="L21" s="77"/>
      <c r="M21" s="120"/>
    </row>
    <row r="22" spans="1:13" x14ac:dyDescent="0.3">
      <c r="A22" s="104">
        <v>3</v>
      </c>
      <c r="B22" s="113">
        <v>45945</v>
      </c>
      <c r="C22" s="175"/>
      <c r="D22" s="175"/>
      <c r="E22" s="175"/>
      <c r="F22" s="157"/>
      <c r="G22" s="150"/>
      <c r="H22" s="368"/>
      <c r="I22" s="77"/>
      <c r="J22" s="77"/>
      <c r="K22" s="77"/>
      <c r="L22" s="77"/>
      <c r="M22" s="120"/>
    </row>
    <row r="23" spans="1:13" x14ac:dyDescent="0.3">
      <c r="A23" s="104">
        <v>4</v>
      </c>
      <c r="B23" s="113">
        <v>45946</v>
      </c>
      <c r="C23" s="169">
        <v>0.75</v>
      </c>
      <c r="D23" s="169">
        <v>0.875</v>
      </c>
      <c r="E23" s="169">
        <v>0.125</v>
      </c>
      <c r="F23" s="379" t="s">
        <v>132</v>
      </c>
      <c r="G23" s="379" t="s">
        <v>246</v>
      </c>
      <c r="H23" s="376" t="s">
        <v>129</v>
      </c>
      <c r="I23" s="77" t="s">
        <v>316</v>
      </c>
      <c r="J23" s="77"/>
      <c r="K23" s="77">
        <v>1</v>
      </c>
      <c r="L23" s="77"/>
      <c r="M23" s="120"/>
    </row>
    <row r="24" spans="1:13" x14ac:dyDescent="0.3">
      <c r="A24" s="104">
        <v>5</v>
      </c>
      <c r="B24" s="113">
        <v>45947</v>
      </c>
      <c r="C24" s="175">
        <v>0.66666666666666663</v>
      </c>
      <c r="D24" s="175">
        <v>0.79166666666666663</v>
      </c>
      <c r="E24" s="175">
        <v>0.125</v>
      </c>
      <c r="F24" s="379" t="s">
        <v>132</v>
      </c>
      <c r="G24" s="379" t="s">
        <v>247</v>
      </c>
      <c r="H24" s="376" t="s">
        <v>129</v>
      </c>
      <c r="I24" s="77" t="s">
        <v>316</v>
      </c>
      <c r="J24" s="77"/>
      <c r="K24" s="77">
        <v>1</v>
      </c>
      <c r="L24" s="77"/>
      <c r="M24" s="120"/>
    </row>
    <row r="25" spans="1:13" x14ac:dyDescent="0.3">
      <c r="A25" s="104">
        <v>6</v>
      </c>
      <c r="B25" s="113">
        <v>45948</v>
      </c>
      <c r="C25" s="175"/>
      <c r="D25" s="175"/>
      <c r="E25" s="175"/>
      <c r="F25" s="116"/>
      <c r="G25" s="106"/>
      <c r="H25" s="368"/>
      <c r="I25" s="77"/>
      <c r="J25" s="107"/>
      <c r="K25" s="77"/>
      <c r="L25" s="77"/>
      <c r="M25" s="120"/>
    </row>
    <row r="26" spans="1:13" x14ac:dyDescent="0.3">
      <c r="A26" s="109">
        <v>7</v>
      </c>
      <c r="B26" s="110">
        <v>45949</v>
      </c>
      <c r="C26" s="399"/>
      <c r="D26" s="399"/>
      <c r="E26" s="401"/>
      <c r="F26" s="115"/>
      <c r="G26" s="111"/>
      <c r="H26" s="369"/>
      <c r="I26" s="359"/>
      <c r="J26" s="112"/>
      <c r="K26" s="359"/>
      <c r="L26" s="359"/>
      <c r="M26" s="121"/>
    </row>
    <row r="27" spans="1:13" s="86" customFormat="1" x14ac:dyDescent="0.3">
      <c r="A27" s="98">
        <v>1</v>
      </c>
      <c r="B27" s="99">
        <v>45950</v>
      </c>
      <c r="C27" s="396"/>
      <c r="D27" s="396"/>
      <c r="E27" s="396"/>
      <c r="F27" s="380"/>
      <c r="G27" s="149"/>
      <c r="H27" s="365"/>
      <c r="I27" s="178"/>
      <c r="J27" s="178"/>
      <c r="K27" s="178"/>
      <c r="L27" s="178"/>
      <c r="M27" s="129"/>
    </row>
    <row r="28" spans="1:13" s="86" customFormat="1" x14ac:dyDescent="0.3">
      <c r="A28" s="102">
        <v>2</v>
      </c>
      <c r="B28" s="99">
        <v>45951</v>
      </c>
      <c r="C28" s="175">
        <v>0.75</v>
      </c>
      <c r="D28" s="175">
        <v>0.875</v>
      </c>
      <c r="E28" s="175">
        <v>0.125</v>
      </c>
      <c r="F28" s="379" t="s">
        <v>132</v>
      </c>
      <c r="G28" s="379" t="s">
        <v>248</v>
      </c>
      <c r="H28" s="376" t="s">
        <v>129</v>
      </c>
      <c r="I28" s="77" t="s">
        <v>316</v>
      </c>
      <c r="J28" s="178"/>
      <c r="K28" s="178">
        <v>1</v>
      </c>
      <c r="L28" s="178"/>
      <c r="M28" s="129"/>
    </row>
    <row r="29" spans="1:13" x14ac:dyDescent="0.3">
      <c r="A29" s="104">
        <v>3</v>
      </c>
      <c r="B29" s="99">
        <v>45952</v>
      </c>
      <c r="C29" s="175"/>
      <c r="D29" s="175"/>
      <c r="E29" s="175"/>
      <c r="F29" s="379"/>
      <c r="G29" s="379"/>
      <c r="H29" s="379"/>
      <c r="I29" s="379"/>
      <c r="J29" s="77"/>
      <c r="K29" s="77"/>
      <c r="L29" s="77"/>
      <c r="M29" s="120"/>
    </row>
    <row r="30" spans="1:13" s="173" customFormat="1" x14ac:dyDescent="0.35">
      <c r="A30" s="122">
        <v>4</v>
      </c>
      <c r="B30" s="174">
        <v>45953</v>
      </c>
      <c r="C30" s="169">
        <v>0.75</v>
      </c>
      <c r="D30" s="169">
        <v>0.875</v>
      </c>
      <c r="E30" s="169">
        <v>0.125</v>
      </c>
      <c r="F30" s="379" t="s">
        <v>22</v>
      </c>
      <c r="G30" s="379" t="s">
        <v>341</v>
      </c>
      <c r="H30" s="368" t="s">
        <v>26</v>
      </c>
      <c r="I30" s="77" t="s">
        <v>25</v>
      </c>
      <c r="J30" s="77" t="s">
        <v>157</v>
      </c>
      <c r="K30" s="77">
        <v>1</v>
      </c>
      <c r="L30" s="77"/>
      <c r="M30" s="172"/>
    </row>
    <row r="31" spans="1:13" s="173" customFormat="1" x14ac:dyDescent="0.35">
      <c r="A31" s="122">
        <v>5</v>
      </c>
      <c r="B31" s="174">
        <v>45954</v>
      </c>
      <c r="C31" s="175">
        <v>0.66666666666666663</v>
      </c>
      <c r="D31" s="175">
        <v>0.79166666666666663</v>
      </c>
      <c r="E31" s="175">
        <v>0.125</v>
      </c>
      <c r="F31" s="379" t="s">
        <v>22</v>
      </c>
      <c r="G31" s="379" t="s">
        <v>340</v>
      </c>
      <c r="H31" s="368" t="s">
        <v>25</v>
      </c>
      <c r="I31" s="77" t="s">
        <v>26</v>
      </c>
      <c r="J31" s="77" t="s">
        <v>157</v>
      </c>
      <c r="K31" s="77">
        <v>1</v>
      </c>
      <c r="L31" s="77"/>
      <c r="M31" s="172"/>
    </row>
    <row r="32" spans="1:13" x14ac:dyDescent="0.3">
      <c r="A32" s="104">
        <v>6</v>
      </c>
      <c r="B32" s="99">
        <v>45955</v>
      </c>
      <c r="C32" s="175"/>
      <c r="D32" s="175"/>
      <c r="E32" s="175"/>
      <c r="F32" s="381"/>
      <c r="G32" s="150"/>
      <c r="H32" s="368"/>
      <c r="I32" s="77"/>
      <c r="J32" s="77"/>
      <c r="K32" s="77"/>
      <c r="L32" s="77"/>
      <c r="M32" s="120"/>
    </row>
    <row r="33" spans="1:13" x14ac:dyDescent="0.3">
      <c r="A33" s="109">
        <v>7</v>
      </c>
      <c r="B33" s="110">
        <v>45956</v>
      </c>
      <c r="C33" s="399"/>
      <c r="D33" s="399"/>
      <c r="E33" s="401"/>
      <c r="F33" s="382"/>
      <c r="G33" s="383"/>
      <c r="H33" s="369"/>
      <c r="I33" s="359"/>
      <c r="J33" s="359"/>
      <c r="K33" s="359"/>
      <c r="L33" s="359"/>
      <c r="M33" s="121"/>
    </row>
    <row r="34" spans="1:13" x14ac:dyDescent="0.3">
      <c r="A34" s="104">
        <v>1</v>
      </c>
      <c r="B34" s="113">
        <v>45957</v>
      </c>
      <c r="C34" s="175"/>
      <c r="D34" s="175"/>
      <c r="E34" s="175"/>
      <c r="F34" s="384"/>
      <c r="G34" s="150"/>
      <c r="H34" s="368"/>
      <c r="I34" s="77"/>
      <c r="J34" s="77"/>
      <c r="K34" s="77"/>
      <c r="L34" s="77"/>
      <c r="M34" s="120"/>
    </row>
    <row r="35" spans="1:13" s="173" customFormat="1" x14ac:dyDescent="0.35">
      <c r="A35" s="176">
        <v>2</v>
      </c>
      <c r="B35" s="177">
        <v>45958</v>
      </c>
      <c r="C35" s="175">
        <v>0.75</v>
      </c>
      <c r="D35" s="175">
        <v>0.875</v>
      </c>
      <c r="E35" s="175">
        <v>0.125</v>
      </c>
      <c r="F35" s="379" t="s">
        <v>22</v>
      </c>
      <c r="G35" s="379" t="s">
        <v>369</v>
      </c>
      <c r="H35" s="368" t="s">
        <v>25</v>
      </c>
      <c r="I35" s="77" t="s">
        <v>26</v>
      </c>
      <c r="J35" s="77" t="s">
        <v>157</v>
      </c>
      <c r="K35" s="178">
        <v>1</v>
      </c>
      <c r="L35" s="178"/>
      <c r="M35" s="147"/>
    </row>
    <row r="36" spans="1:13" x14ac:dyDescent="0.3">
      <c r="A36" s="102">
        <v>3</v>
      </c>
      <c r="B36" s="113">
        <v>45959</v>
      </c>
      <c r="C36" s="175"/>
      <c r="D36" s="175"/>
      <c r="E36" s="175"/>
      <c r="F36" s="182"/>
      <c r="G36" s="149"/>
      <c r="H36" s="365"/>
      <c r="I36" s="178"/>
      <c r="J36" s="178"/>
      <c r="K36" s="178"/>
      <c r="L36" s="178"/>
      <c r="M36" s="129"/>
    </row>
    <row r="37" spans="1:13" s="173" customFormat="1" x14ac:dyDescent="0.35">
      <c r="A37" s="122">
        <v>4</v>
      </c>
      <c r="B37" s="177">
        <v>45960</v>
      </c>
      <c r="C37" s="169">
        <v>0.75</v>
      </c>
      <c r="D37" s="169">
        <v>0.875</v>
      </c>
      <c r="E37" s="169">
        <v>0.125</v>
      </c>
      <c r="F37" s="379" t="s">
        <v>22</v>
      </c>
      <c r="G37" s="379" t="s">
        <v>370</v>
      </c>
      <c r="H37" s="77" t="s">
        <v>25</v>
      </c>
      <c r="I37" s="368" t="s">
        <v>26</v>
      </c>
      <c r="J37" s="77" t="s">
        <v>157</v>
      </c>
      <c r="K37" s="77">
        <v>1</v>
      </c>
      <c r="L37" s="77"/>
      <c r="M37" s="172"/>
    </row>
    <row r="38" spans="1:13" s="173" customFormat="1" x14ac:dyDescent="0.35">
      <c r="A38" s="70">
        <v>5</v>
      </c>
      <c r="B38" s="71">
        <v>45961</v>
      </c>
      <c r="C38" s="175">
        <v>0.66666666666666663</v>
      </c>
      <c r="D38" s="175">
        <v>0.79166666666666663</v>
      </c>
      <c r="E38" s="175">
        <v>0.125</v>
      </c>
      <c r="F38" s="385" t="s">
        <v>124</v>
      </c>
      <c r="G38" s="385" t="s">
        <v>342</v>
      </c>
      <c r="H38" s="378" t="s">
        <v>129</v>
      </c>
      <c r="I38" s="76" t="s">
        <v>316</v>
      </c>
      <c r="J38" s="178"/>
      <c r="K38" s="178">
        <v>1</v>
      </c>
      <c r="L38" s="178"/>
      <c r="M38" s="147"/>
    </row>
    <row r="39" spans="1:13" x14ac:dyDescent="0.3">
      <c r="A39" s="87">
        <v>6</v>
      </c>
      <c r="B39" s="118">
        <v>45962</v>
      </c>
      <c r="C39" s="88"/>
      <c r="D39" s="88"/>
      <c r="E39" s="88"/>
      <c r="F39" s="158"/>
      <c r="G39" s="88"/>
      <c r="H39" s="88"/>
      <c r="I39" s="88"/>
      <c r="J39" s="88"/>
      <c r="K39" s="413"/>
      <c r="L39" s="413"/>
      <c r="M39" s="185" t="s">
        <v>238</v>
      </c>
    </row>
    <row r="40" spans="1:13" x14ac:dyDescent="0.3">
      <c r="A40" s="109">
        <v>7</v>
      </c>
      <c r="B40" s="110">
        <v>45963</v>
      </c>
      <c r="C40" s="399"/>
      <c r="D40" s="399"/>
      <c r="E40" s="400"/>
      <c r="F40" s="386"/>
      <c r="G40" s="383"/>
      <c r="H40" s="369"/>
      <c r="I40" s="359"/>
      <c r="J40" s="359"/>
      <c r="K40" s="359"/>
      <c r="L40" s="359"/>
      <c r="M40" s="121"/>
    </row>
    <row r="41" spans="1:13" x14ac:dyDescent="0.3">
      <c r="A41" s="104">
        <v>1</v>
      </c>
      <c r="B41" s="113">
        <v>45964</v>
      </c>
      <c r="C41" s="175"/>
      <c r="D41" s="175"/>
      <c r="E41" s="398"/>
      <c r="F41" s="170"/>
      <c r="G41" s="150"/>
      <c r="H41" s="368"/>
      <c r="I41" s="77"/>
      <c r="J41" s="77"/>
      <c r="K41" s="77"/>
      <c r="L41" s="77"/>
      <c r="M41" s="120"/>
    </row>
    <row r="42" spans="1:13" s="173" customFormat="1" x14ac:dyDescent="0.35">
      <c r="A42" s="122">
        <v>2</v>
      </c>
      <c r="B42" s="177">
        <v>45965</v>
      </c>
      <c r="C42" s="175">
        <v>0.75</v>
      </c>
      <c r="D42" s="175">
        <v>0.875</v>
      </c>
      <c r="E42" s="175">
        <v>0.125</v>
      </c>
      <c r="F42" s="379" t="s">
        <v>22</v>
      </c>
      <c r="G42" s="379" t="s">
        <v>371</v>
      </c>
      <c r="H42" s="77" t="s">
        <v>25</v>
      </c>
      <c r="I42" s="368" t="s">
        <v>26</v>
      </c>
      <c r="J42" s="374" t="s">
        <v>157</v>
      </c>
      <c r="K42" s="77">
        <v>1</v>
      </c>
      <c r="L42" s="77"/>
      <c r="M42" s="172"/>
    </row>
    <row r="43" spans="1:13" s="173" customFormat="1" x14ac:dyDescent="0.35">
      <c r="A43" s="122">
        <v>3</v>
      </c>
      <c r="B43" s="177">
        <v>45966</v>
      </c>
      <c r="C43" s="175"/>
      <c r="D43" s="175"/>
      <c r="E43" s="175"/>
      <c r="F43" s="379"/>
      <c r="H43" s="368"/>
      <c r="I43" s="368"/>
      <c r="J43" s="77"/>
      <c r="K43" s="77"/>
      <c r="L43" s="77"/>
      <c r="M43" s="172"/>
    </row>
    <row r="44" spans="1:13" s="173" customFormat="1" x14ac:dyDescent="0.35">
      <c r="A44" s="122">
        <v>4</v>
      </c>
      <c r="B44" s="177">
        <v>45967</v>
      </c>
      <c r="C44" s="169">
        <v>0.75</v>
      </c>
      <c r="D44" s="169">
        <v>0.875</v>
      </c>
      <c r="E44" s="169">
        <v>0.125</v>
      </c>
      <c r="F44" s="379" t="s">
        <v>22</v>
      </c>
      <c r="G44" s="379" t="s">
        <v>33</v>
      </c>
      <c r="H44" s="368" t="s">
        <v>363</v>
      </c>
      <c r="I44" s="368" t="s">
        <v>25</v>
      </c>
      <c r="J44" s="77" t="s">
        <v>157</v>
      </c>
      <c r="K44" s="77">
        <v>1</v>
      </c>
      <c r="L44" s="77"/>
      <c r="M44" s="172"/>
    </row>
    <row r="45" spans="1:13" s="173" customFormat="1" x14ac:dyDescent="0.35">
      <c r="A45" s="122">
        <v>5</v>
      </c>
      <c r="B45" s="177">
        <v>45968</v>
      </c>
      <c r="C45" s="175">
        <v>0.66666666666666663</v>
      </c>
      <c r="D45" s="175">
        <v>0.79166666666666663</v>
      </c>
      <c r="E45" s="175">
        <v>0.125</v>
      </c>
      <c r="F45" s="379" t="s">
        <v>22</v>
      </c>
      <c r="G45" s="379" t="s">
        <v>35</v>
      </c>
      <c r="H45" s="368" t="s">
        <v>363</v>
      </c>
      <c r="I45" s="368" t="s">
        <v>25</v>
      </c>
      <c r="J45" s="77" t="s">
        <v>157</v>
      </c>
      <c r="K45" s="77">
        <v>1</v>
      </c>
      <c r="L45" s="77"/>
      <c r="M45" s="172"/>
    </row>
    <row r="46" spans="1:13" x14ac:dyDescent="0.3">
      <c r="A46" s="104">
        <v>6</v>
      </c>
      <c r="B46" s="113">
        <v>45969</v>
      </c>
      <c r="C46" s="175"/>
      <c r="D46" s="175"/>
      <c r="E46" s="175"/>
      <c r="F46" s="170"/>
      <c r="G46" s="172"/>
      <c r="H46" s="368"/>
      <c r="I46" s="77"/>
      <c r="J46" s="77"/>
      <c r="K46" s="77"/>
      <c r="L46" s="77"/>
      <c r="M46" s="120"/>
    </row>
    <row r="47" spans="1:13" x14ac:dyDescent="0.3">
      <c r="A47" s="109">
        <v>7</v>
      </c>
      <c r="B47" s="110">
        <v>45970</v>
      </c>
      <c r="C47" s="399"/>
      <c r="D47" s="399"/>
      <c r="E47" s="401"/>
      <c r="F47" s="386"/>
      <c r="G47" s="184"/>
      <c r="H47" s="369"/>
      <c r="I47" s="359"/>
      <c r="J47" s="359"/>
      <c r="K47" s="359"/>
      <c r="L47" s="359"/>
      <c r="M47" s="121"/>
    </row>
    <row r="48" spans="1:13" x14ac:dyDescent="0.3">
      <c r="A48" s="104">
        <v>1</v>
      </c>
      <c r="B48" s="113">
        <v>45971</v>
      </c>
      <c r="C48" s="175"/>
      <c r="D48" s="175"/>
      <c r="E48" s="175"/>
      <c r="F48" s="170"/>
      <c r="G48" s="172"/>
      <c r="H48" s="368"/>
      <c r="I48" s="77"/>
      <c r="J48" s="77"/>
      <c r="K48" s="77"/>
      <c r="L48" s="77"/>
      <c r="M48" s="120"/>
    </row>
    <row r="49" spans="1:13" x14ac:dyDescent="0.3">
      <c r="A49" s="122">
        <v>2</v>
      </c>
      <c r="B49" s="113">
        <v>45972</v>
      </c>
      <c r="C49" s="175">
        <v>0.75</v>
      </c>
      <c r="D49" s="175">
        <v>0.875</v>
      </c>
      <c r="E49" s="175">
        <v>0.125</v>
      </c>
      <c r="F49" s="379" t="s">
        <v>132</v>
      </c>
      <c r="G49" s="379" t="s">
        <v>142</v>
      </c>
      <c r="H49" s="368" t="s">
        <v>316</v>
      </c>
      <c r="I49" s="77"/>
      <c r="J49" s="77"/>
      <c r="K49" s="77">
        <v>1</v>
      </c>
      <c r="L49" s="77"/>
      <c r="M49" s="120"/>
    </row>
    <row r="50" spans="1:13" x14ac:dyDescent="0.3">
      <c r="A50" s="122">
        <v>3</v>
      </c>
      <c r="B50" s="113">
        <v>45973</v>
      </c>
      <c r="C50" s="175"/>
      <c r="D50" s="175"/>
      <c r="E50" s="175"/>
      <c r="F50" s="175"/>
      <c r="G50" s="175"/>
      <c r="H50" s="175"/>
      <c r="I50" s="77"/>
      <c r="J50" s="77"/>
      <c r="K50" s="77"/>
      <c r="L50" s="77"/>
      <c r="M50" s="120"/>
    </row>
    <row r="51" spans="1:13" x14ac:dyDescent="0.3">
      <c r="A51" s="122">
        <v>4</v>
      </c>
      <c r="B51" s="113">
        <v>45974</v>
      </c>
      <c r="C51" s="169">
        <v>0.75</v>
      </c>
      <c r="D51" s="169">
        <v>0.875</v>
      </c>
      <c r="E51" s="169">
        <v>0.125</v>
      </c>
      <c r="F51" s="379" t="s">
        <v>132</v>
      </c>
      <c r="G51" s="379" t="s">
        <v>143</v>
      </c>
      <c r="H51" s="368" t="s">
        <v>316</v>
      </c>
      <c r="I51" s="77"/>
      <c r="J51" s="107"/>
      <c r="K51" s="77">
        <v>1</v>
      </c>
      <c r="L51" s="77"/>
      <c r="M51" s="120"/>
    </row>
    <row r="52" spans="1:13" x14ac:dyDescent="0.3">
      <c r="A52" s="122">
        <v>5</v>
      </c>
      <c r="B52" s="113">
        <v>45975</v>
      </c>
      <c r="C52" s="175">
        <v>0.66666666666666663</v>
      </c>
      <c r="D52" s="175">
        <v>0.79166666666666663</v>
      </c>
      <c r="E52" s="175">
        <v>0.125</v>
      </c>
      <c r="F52" s="379" t="s">
        <v>159</v>
      </c>
      <c r="G52" s="379" t="s">
        <v>68</v>
      </c>
      <c r="H52" s="368" t="s">
        <v>38</v>
      </c>
      <c r="I52" s="123"/>
      <c r="J52" s="123" t="s">
        <v>157</v>
      </c>
      <c r="K52" s="77">
        <v>1</v>
      </c>
      <c r="L52" s="77"/>
      <c r="M52" s="120"/>
    </row>
    <row r="53" spans="1:13" x14ac:dyDescent="0.3">
      <c r="A53" s="122">
        <v>6</v>
      </c>
      <c r="B53" s="113">
        <v>45976</v>
      </c>
      <c r="C53" s="175"/>
      <c r="D53" s="175"/>
      <c r="E53" s="175"/>
      <c r="F53" s="108"/>
      <c r="G53" s="120"/>
      <c r="H53" s="368"/>
      <c r="I53" s="77"/>
      <c r="J53" s="107"/>
      <c r="K53" s="77"/>
      <c r="L53" s="77"/>
      <c r="M53" s="120"/>
    </row>
    <row r="54" spans="1:13" x14ac:dyDescent="0.3">
      <c r="A54" s="109">
        <v>7</v>
      </c>
      <c r="B54" s="110">
        <v>45977</v>
      </c>
      <c r="C54" s="399"/>
      <c r="D54" s="399"/>
      <c r="E54" s="401"/>
      <c r="F54" s="119"/>
      <c r="G54" s="121"/>
      <c r="H54" s="369"/>
      <c r="I54" s="359"/>
      <c r="J54" s="112"/>
      <c r="K54" s="359"/>
      <c r="L54" s="359"/>
      <c r="M54" s="121"/>
    </row>
    <row r="55" spans="1:13" x14ac:dyDescent="0.3">
      <c r="A55" s="104">
        <v>1</v>
      </c>
      <c r="B55" s="113">
        <v>45978</v>
      </c>
      <c r="C55" s="175"/>
      <c r="D55" s="175"/>
      <c r="E55" s="175"/>
      <c r="F55" s="108"/>
      <c r="G55" s="120"/>
      <c r="H55" s="368"/>
      <c r="I55" s="123"/>
      <c r="J55" s="123"/>
      <c r="K55" s="123"/>
      <c r="L55" s="123"/>
      <c r="M55" s="128"/>
    </row>
    <row r="56" spans="1:13" x14ac:dyDescent="0.3">
      <c r="A56" s="104">
        <v>2</v>
      </c>
      <c r="B56" s="113">
        <v>45979</v>
      </c>
      <c r="C56" s="175">
        <v>0.75</v>
      </c>
      <c r="D56" s="175">
        <v>0.875</v>
      </c>
      <c r="E56" s="175">
        <v>0.125</v>
      </c>
      <c r="F56" s="379" t="s">
        <v>159</v>
      </c>
      <c r="G56" s="379" t="s">
        <v>72</v>
      </c>
      <c r="H56" s="368" t="s">
        <v>73</v>
      </c>
      <c r="J56" s="123" t="s">
        <v>157</v>
      </c>
      <c r="K56" s="123">
        <v>1</v>
      </c>
      <c r="L56" s="123"/>
      <c r="M56" s="128"/>
    </row>
    <row r="57" spans="1:13" x14ac:dyDescent="0.3">
      <c r="A57" s="124">
        <v>3</v>
      </c>
      <c r="B57" s="125">
        <v>45980</v>
      </c>
      <c r="C57" s="402"/>
      <c r="D57" s="402"/>
      <c r="E57" s="402"/>
      <c r="F57" s="126" t="s">
        <v>156</v>
      </c>
      <c r="G57" s="166" t="s">
        <v>250</v>
      </c>
      <c r="H57" s="370"/>
      <c r="I57" s="127"/>
      <c r="J57" s="127"/>
      <c r="K57" s="127"/>
      <c r="L57" s="127"/>
      <c r="M57" s="183"/>
    </row>
    <row r="58" spans="1:13" x14ac:dyDescent="0.3">
      <c r="A58" s="104">
        <v>4</v>
      </c>
      <c r="B58" s="113">
        <v>45981</v>
      </c>
      <c r="C58" s="175">
        <v>0.75</v>
      </c>
      <c r="D58" s="175">
        <v>0.875</v>
      </c>
      <c r="E58" s="175">
        <v>0.125</v>
      </c>
      <c r="F58" s="379" t="s">
        <v>159</v>
      </c>
      <c r="G58" s="379" t="s">
        <v>251</v>
      </c>
      <c r="H58" s="368" t="s">
        <v>73</v>
      </c>
      <c r="I58" s="123"/>
      <c r="J58" s="178" t="s">
        <v>157</v>
      </c>
      <c r="K58" s="178">
        <v>1</v>
      </c>
      <c r="L58" s="178"/>
      <c r="M58" s="178"/>
    </row>
    <row r="59" spans="1:13" x14ac:dyDescent="0.3">
      <c r="A59" s="104">
        <v>5</v>
      </c>
      <c r="B59" s="113">
        <v>45982</v>
      </c>
      <c r="C59" s="175">
        <v>0.66666666666666663</v>
      </c>
      <c r="D59" s="175">
        <v>0.79166666666666663</v>
      </c>
      <c r="E59" s="175">
        <v>0.125</v>
      </c>
      <c r="F59" s="379" t="s">
        <v>159</v>
      </c>
      <c r="G59" s="379" t="s">
        <v>252</v>
      </c>
      <c r="H59" s="368" t="s">
        <v>73</v>
      </c>
      <c r="J59" s="178" t="s">
        <v>157</v>
      </c>
      <c r="K59" s="123">
        <v>1</v>
      </c>
      <c r="L59" s="123"/>
      <c r="M59" s="128"/>
    </row>
    <row r="60" spans="1:13" x14ac:dyDescent="0.3">
      <c r="A60" s="104">
        <v>6</v>
      </c>
      <c r="B60" s="113">
        <v>45983</v>
      </c>
      <c r="C60" s="175"/>
      <c r="D60" s="175"/>
      <c r="E60" s="175"/>
      <c r="F60" s="108"/>
      <c r="G60" s="120"/>
      <c r="H60" s="368"/>
      <c r="I60" s="77"/>
      <c r="J60" s="107"/>
      <c r="K60" s="77"/>
      <c r="L60" s="77"/>
      <c r="M60" s="120"/>
    </row>
    <row r="61" spans="1:13" x14ac:dyDescent="0.3">
      <c r="A61" s="109">
        <v>7</v>
      </c>
      <c r="B61" s="110">
        <v>45984</v>
      </c>
      <c r="C61" s="399"/>
      <c r="D61" s="399"/>
      <c r="E61" s="401"/>
      <c r="F61" s="119"/>
      <c r="G61" s="121"/>
      <c r="H61" s="369"/>
      <c r="I61" s="359"/>
      <c r="J61" s="112"/>
      <c r="K61" s="359"/>
      <c r="L61" s="359"/>
      <c r="M61" s="121"/>
    </row>
    <row r="62" spans="1:13" x14ac:dyDescent="0.3">
      <c r="A62" s="104">
        <v>1</v>
      </c>
      <c r="B62" s="113">
        <v>45985</v>
      </c>
      <c r="C62" s="175"/>
      <c r="D62" s="175"/>
      <c r="E62" s="175"/>
      <c r="F62" s="108"/>
      <c r="G62" s="120"/>
      <c r="H62" s="368"/>
      <c r="I62" s="123"/>
      <c r="J62" s="123"/>
      <c r="K62" s="123"/>
      <c r="L62" s="123"/>
      <c r="M62" s="128"/>
    </row>
    <row r="63" spans="1:13" x14ac:dyDescent="0.3">
      <c r="A63" s="104">
        <v>2</v>
      </c>
      <c r="B63" s="113">
        <v>45986</v>
      </c>
      <c r="C63" s="175">
        <v>0.75</v>
      </c>
      <c r="D63" s="175">
        <v>0.875</v>
      </c>
      <c r="E63" s="175">
        <v>0.125</v>
      </c>
      <c r="F63" s="379" t="s">
        <v>159</v>
      </c>
      <c r="G63" s="476" t="s">
        <v>372</v>
      </c>
      <c r="H63" s="477" t="s">
        <v>34</v>
      </c>
      <c r="J63" s="77" t="s">
        <v>157</v>
      </c>
      <c r="K63" s="123">
        <v>1</v>
      </c>
      <c r="L63" s="123"/>
      <c r="M63" s="128"/>
    </row>
    <row r="64" spans="1:13" x14ac:dyDescent="0.3">
      <c r="A64" s="104">
        <v>3</v>
      </c>
      <c r="B64" s="113">
        <v>45987</v>
      </c>
      <c r="C64" s="175"/>
      <c r="D64" s="175"/>
      <c r="E64" s="175"/>
      <c r="F64" s="108"/>
      <c r="G64" s="478"/>
      <c r="H64" s="477"/>
      <c r="I64" s="123"/>
      <c r="J64" s="123"/>
      <c r="K64" s="123"/>
      <c r="L64" s="123"/>
      <c r="M64" s="128"/>
    </row>
    <row r="65" spans="1:13" x14ac:dyDescent="0.3">
      <c r="A65" s="104">
        <v>4</v>
      </c>
      <c r="B65" s="113">
        <v>45988</v>
      </c>
      <c r="C65" s="169">
        <v>0.75</v>
      </c>
      <c r="D65" s="169">
        <v>0.875</v>
      </c>
      <c r="E65" s="169">
        <v>0.125</v>
      </c>
      <c r="F65" s="379" t="s">
        <v>159</v>
      </c>
      <c r="G65" s="476" t="s">
        <v>373</v>
      </c>
      <c r="H65" s="477" t="s">
        <v>34</v>
      </c>
      <c r="J65" s="77" t="s">
        <v>157</v>
      </c>
      <c r="K65" s="123">
        <v>1</v>
      </c>
      <c r="L65" s="123"/>
      <c r="M65" s="193" t="s">
        <v>297</v>
      </c>
    </row>
    <row r="66" spans="1:13" x14ac:dyDescent="0.3">
      <c r="A66" s="104">
        <v>5</v>
      </c>
      <c r="B66" s="113">
        <v>45989</v>
      </c>
      <c r="C66" s="175">
        <v>0.66666666666666663</v>
      </c>
      <c r="D66" s="175">
        <v>0.79166666666666663</v>
      </c>
      <c r="E66" s="175">
        <v>0.125</v>
      </c>
      <c r="F66" s="385" t="s">
        <v>124</v>
      </c>
      <c r="G66" s="385" t="s">
        <v>253</v>
      </c>
      <c r="H66" s="89" t="s">
        <v>129</v>
      </c>
      <c r="I66" s="389" t="s">
        <v>316</v>
      </c>
      <c r="J66" s="123"/>
      <c r="K66" s="123">
        <v>1</v>
      </c>
      <c r="L66" s="123"/>
      <c r="M66" s="128"/>
    </row>
    <row r="67" spans="1:13" x14ac:dyDescent="0.3">
      <c r="A67" s="104">
        <v>6</v>
      </c>
      <c r="B67" s="113">
        <v>45990</v>
      </c>
      <c r="C67" s="175"/>
      <c r="D67" s="175"/>
      <c r="E67" s="175"/>
      <c r="F67" s="108"/>
      <c r="G67" s="120"/>
      <c r="H67" s="368"/>
      <c r="I67" s="77"/>
      <c r="J67" s="107"/>
      <c r="K67" s="77"/>
      <c r="L67" s="77"/>
      <c r="M67" s="120"/>
    </row>
    <row r="68" spans="1:13" x14ac:dyDescent="0.3">
      <c r="A68" s="109">
        <v>7</v>
      </c>
      <c r="B68" s="110">
        <v>45991</v>
      </c>
      <c r="C68" s="399"/>
      <c r="D68" s="399"/>
      <c r="E68" s="401"/>
      <c r="F68" s="119"/>
      <c r="G68" s="121"/>
      <c r="H68" s="369"/>
      <c r="I68" s="359"/>
      <c r="J68" s="112"/>
      <c r="K68" s="359"/>
      <c r="L68" s="359"/>
      <c r="M68" s="121"/>
    </row>
    <row r="69" spans="1:13" x14ac:dyDescent="0.3">
      <c r="A69" s="102">
        <v>1</v>
      </c>
      <c r="B69" s="99">
        <v>45992</v>
      </c>
      <c r="C69" s="169"/>
      <c r="D69" s="169"/>
      <c r="E69" s="169"/>
      <c r="F69" s="159"/>
      <c r="G69" s="129"/>
      <c r="H69" s="365"/>
      <c r="I69" s="178"/>
      <c r="J69" s="100"/>
      <c r="K69" s="178"/>
      <c r="L69" s="178"/>
      <c r="M69" s="129"/>
    </row>
    <row r="70" spans="1:13" x14ac:dyDescent="0.3">
      <c r="A70" s="102">
        <v>2</v>
      </c>
      <c r="B70" s="99">
        <v>45993</v>
      </c>
      <c r="C70" s="175">
        <v>0.75</v>
      </c>
      <c r="D70" s="175">
        <v>0.875</v>
      </c>
      <c r="E70" s="175">
        <v>0.125</v>
      </c>
      <c r="F70" s="379" t="s">
        <v>159</v>
      </c>
      <c r="G70" s="476" t="s">
        <v>374</v>
      </c>
      <c r="H70" s="477" t="s">
        <v>34</v>
      </c>
      <c r="J70" s="77" t="s">
        <v>157</v>
      </c>
      <c r="K70" s="178">
        <v>1</v>
      </c>
      <c r="L70" s="178"/>
      <c r="M70" s="129"/>
    </row>
    <row r="71" spans="1:13" x14ac:dyDescent="0.3">
      <c r="A71" s="102">
        <v>3</v>
      </c>
      <c r="B71" s="99">
        <v>45994</v>
      </c>
      <c r="C71" s="175"/>
      <c r="D71" s="175"/>
      <c r="E71" s="175"/>
      <c r="F71" s="159"/>
      <c r="G71" s="478"/>
      <c r="H71" s="477"/>
      <c r="I71" s="178"/>
      <c r="J71" s="100"/>
      <c r="K71" s="178"/>
      <c r="L71" s="178"/>
      <c r="M71" s="129"/>
    </row>
    <row r="72" spans="1:13" x14ac:dyDescent="0.3">
      <c r="A72" s="102">
        <v>4</v>
      </c>
      <c r="B72" s="99">
        <v>45995</v>
      </c>
      <c r="C72" s="169">
        <v>0.75</v>
      </c>
      <c r="D72" s="169">
        <v>0.875</v>
      </c>
      <c r="E72" s="169">
        <v>0.125</v>
      </c>
      <c r="F72" s="379" t="s">
        <v>159</v>
      </c>
      <c r="G72" s="476" t="s">
        <v>375</v>
      </c>
      <c r="H72" s="477" t="s">
        <v>34</v>
      </c>
      <c r="J72" s="77" t="s">
        <v>157</v>
      </c>
      <c r="K72" s="178">
        <v>1</v>
      </c>
      <c r="L72" s="178"/>
      <c r="M72" s="129"/>
    </row>
    <row r="73" spans="1:13" x14ac:dyDescent="0.3">
      <c r="A73" s="102">
        <v>5</v>
      </c>
      <c r="B73" s="99">
        <v>45996</v>
      </c>
      <c r="C73" s="175">
        <v>0.66666666666666663</v>
      </c>
      <c r="D73" s="175">
        <v>0.79166666666666663</v>
      </c>
      <c r="E73" s="175">
        <v>0.125</v>
      </c>
      <c r="F73" s="379" t="s">
        <v>159</v>
      </c>
      <c r="G73" s="379" t="s">
        <v>256</v>
      </c>
      <c r="H73" s="481" t="s">
        <v>377</v>
      </c>
      <c r="I73" s="477" t="s">
        <v>316</v>
      </c>
      <c r="J73" s="481" t="s">
        <v>157</v>
      </c>
      <c r="K73" s="178">
        <v>1</v>
      </c>
      <c r="L73" s="178"/>
      <c r="M73" s="129"/>
    </row>
    <row r="74" spans="1:13" x14ac:dyDescent="0.3">
      <c r="A74" s="130">
        <v>6</v>
      </c>
      <c r="B74" s="131">
        <v>45997</v>
      </c>
      <c r="C74" s="361"/>
      <c r="D74" s="361"/>
      <c r="E74" s="361"/>
      <c r="F74" s="133"/>
      <c r="G74" s="134"/>
      <c r="H74" s="371"/>
      <c r="I74" s="360"/>
      <c r="J74" s="135"/>
      <c r="K74" s="360"/>
      <c r="L74" s="360"/>
      <c r="M74" s="134" t="s">
        <v>237</v>
      </c>
    </row>
    <row r="75" spans="1:13" x14ac:dyDescent="0.3">
      <c r="A75" s="109">
        <v>7</v>
      </c>
      <c r="B75" s="136">
        <v>45998</v>
      </c>
      <c r="C75" s="399"/>
      <c r="D75" s="399"/>
      <c r="E75" s="401"/>
      <c r="F75" s="119"/>
      <c r="G75" s="121"/>
      <c r="H75" s="369"/>
      <c r="I75" s="359"/>
      <c r="J75" s="112"/>
      <c r="K75" s="359"/>
      <c r="L75" s="359"/>
      <c r="M75" s="121"/>
    </row>
    <row r="76" spans="1:13" x14ac:dyDescent="0.3">
      <c r="A76" s="130">
        <v>1</v>
      </c>
      <c r="B76" s="131">
        <v>45999</v>
      </c>
      <c r="C76" s="361"/>
      <c r="D76" s="361"/>
      <c r="E76" s="361"/>
      <c r="F76" s="160"/>
      <c r="G76" s="132"/>
      <c r="H76" s="361"/>
      <c r="I76" s="361"/>
      <c r="J76" s="132"/>
      <c r="K76" s="413"/>
      <c r="L76" s="413"/>
      <c r="M76" s="188" t="s">
        <v>237</v>
      </c>
    </row>
    <row r="77" spans="1:13" x14ac:dyDescent="0.3">
      <c r="A77" s="104">
        <v>2</v>
      </c>
      <c r="B77" s="137">
        <v>46000</v>
      </c>
      <c r="C77" s="175">
        <v>0.75</v>
      </c>
      <c r="D77" s="175">
        <v>0.875</v>
      </c>
      <c r="E77" s="175">
        <v>0.125</v>
      </c>
      <c r="F77" s="379" t="s">
        <v>159</v>
      </c>
      <c r="G77" s="379" t="s">
        <v>257</v>
      </c>
      <c r="H77" s="481" t="s">
        <v>377</v>
      </c>
      <c r="I77" s="477" t="s">
        <v>316</v>
      </c>
      <c r="J77" s="481" t="s">
        <v>157</v>
      </c>
      <c r="K77" s="77">
        <v>1</v>
      </c>
      <c r="L77" s="77"/>
      <c r="M77" s="120"/>
    </row>
    <row r="78" spans="1:13" x14ac:dyDescent="0.3">
      <c r="A78" s="104">
        <v>3</v>
      </c>
      <c r="B78" s="137">
        <v>46001</v>
      </c>
      <c r="C78" s="175"/>
      <c r="D78" s="175"/>
      <c r="E78" s="175"/>
      <c r="F78" s="379"/>
      <c r="G78" s="379"/>
      <c r="H78" s="379"/>
      <c r="I78" s="379"/>
      <c r="J78" s="77"/>
      <c r="K78" s="77"/>
      <c r="L78" s="77"/>
      <c r="M78" s="120"/>
    </row>
    <row r="79" spans="1:13" x14ac:dyDescent="0.3">
      <c r="A79" s="104">
        <v>4</v>
      </c>
      <c r="B79" s="474">
        <v>46002</v>
      </c>
      <c r="C79" s="475">
        <v>0.75</v>
      </c>
      <c r="D79" s="475">
        <v>0.875</v>
      </c>
      <c r="E79" s="475">
        <v>0.125</v>
      </c>
      <c r="F79" s="476" t="s">
        <v>159</v>
      </c>
      <c r="G79" s="476" t="s">
        <v>254</v>
      </c>
      <c r="H79" s="479" t="s">
        <v>71</v>
      </c>
      <c r="I79" s="477" t="s">
        <v>316</v>
      </c>
      <c r="J79" s="77" t="s">
        <v>157</v>
      </c>
      <c r="K79" s="77">
        <v>1</v>
      </c>
      <c r="L79" s="77"/>
      <c r="M79" s="120"/>
    </row>
    <row r="80" spans="1:13" x14ac:dyDescent="0.3">
      <c r="A80" s="104">
        <v>5</v>
      </c>
      <c r="B80" s="137">
        <v>46003</v>
      </c>
      <c r="C80" s="175">
        <v>0.66666666666666663</v>
      </c>
      <c r="D80" s="175">
        <v>0.79166666666666663</v>
      </c>
      <c r="E80" s="175">
        <v>0.125</v>
      </c>
      <c r="F80" s="379" t="s">
        <v>159</v>
      </c>
      <c r="G80" s="476" t="s">
        <v>255</v>
      </c>
      <c r="H80" s="479" t="s">
        <v>71</v>
      </c>
      <c r="I80" s="477" t="s">
        <v>316</v>
      </c>
      <c r="J80" s="77" t="s">
        <v>157</v>
      </c>
      <c r="K80" s="77">
        <v>1</v>
      </c>
      <c r="L80" s="77"/>
      <c r="M80" s="120"/>
    </row>
    <row r="81" spans="1:13" x14ac:dyDescent="0.3">
      <c r="A81" s="104">
        <v>6</v>
      </c>
      <c r="B81" s="137">
        <v>46004</v>
      </c>
      <c r="C81" s="175"/>
      <c r="D81" s="175"/>
      <c r="E81" s="175"/>
      <c r="F81" s="108"/>
      <c r="G81" s="120"/>
      <c r="H81" s="368"/>
      <c r="I81" s="77"/>
      <c r="J81" s="107"/>
      <c r="K81" s="77"/>
      <c r="L81" s="77"/>
      <c r="M81" s="120"/>
    </row>
    <row r="82" spans="1:13" x14ac:dyDescent="0.3">
      <c r="A82" s="109">
        <v>7</v>
      </c>
      <c r="B82" s="110">
        <v>46005</v>
      </c>
      <c r="C82" s="399"/>
      <c r="D82" s="399"/>
      <c r="E82" s="401"/>
      <c r="F82" s="119"/>
      <c r="G82" s="121"/>
      <c r="H82" s="369"/>
      <c r="I82" s="359"/>
      <c r="J82" s="112"/>
      <c r="K82" s="359"/>
      <c r="L82" s="359"/>
      <c r="M82" s="121"/>
    </row>
    <row r="83" spans="1:13" x14ac:dyDescent="0.3">
      <c r="A83" s="104">
        <v>1</v>
      </c>
      <c r="B83" s="137">
        <v>46006</v>
      </c>
      <c r="C83" s="175"/>
      <c r="D83" s="175"/>
      <c r="E83" s="175"/>
      <c r="F83" s="108"/>
      <c r="G83" s="120"/>
      <c r="H83" s="368"/>
      <c r="I83" s="77"/>
      <c r="J83" s="107"/>
      <c r="K83" s="77"/>
      <c r="L83" s="77"/>
      <c r="M83" s="120"/>
    </row>
    <row r="84" spans="1:13" x14ac:dyDescent="0.3">
      <c r="A84" s="104">
        <v>2</v>
      </c>
      <c r="B84" s="137">
        <v>46007</v>
      </c>
      <c r="C84" s="175">
        <v>0.75</v>
      </c>
      <c r="D84" s="175">
        <v>0.875</v>
      </c>
      <c r="E84" s="175">
        <v>0.125</v>
      </c>
      <c r="F84" s="379" t="s">
        <v>159</v>
      </c>
      <c r="G84" s="476" t="s">
        <v>345</v>
      </c>
      <c r="H84" s="479" t="s">
        <v>71</v>
      </c>
      <c r="I84" s="477" t="s">
        <v>316</v>
      </c>
      <c r="J84" s="77" t="s">
        <v>157</v>
      </c>
      <c r="K84" s="77">
        <v>1</v>
      </c>
      <c r="L84" s="77"/>
      <c r="M84" s="120"/>
    </row>
    <row r="85" spans="1:13" x14ac:dyDescent="0.3">
      <c r="A85" s="104">
        <v>3</v>
      </c>
      <c r="B85" s="137">
        <v>46008</v>
      </c>
      <c r="C85" s="175"/>
      <c r="D85" s="175"/>
      <c r="E85" s="175"/>
      <c r="F85" s="108"/>
      <c r="G85" s="478"/>
      <c r="H85" s="477"/>
      <c r="I85" s="480"/>
      <c r="J85" s="107"/>
      <c r="K85" s="77"/>
      <c r="L85" s="77"/>
      <c r="M85" s="120"/>
    </row>
    <row r="86" spans="1:13" x14ac:dyDescent="0.3">
      <c r="A86" s="102">
        <v>4</v>
      </c>
      <c r="B86" s="137">
        <v>46009</v>
      </c>
      <c r="C86" s="169">
        <v>0.75</v>
      </c>
      <c r="D86" s="169">
        <v>0.875</v>
      </c>
      <c r="E86" s="169">
        <v>0.125</v>
      </c>
      <c r="F86" s="379" t="s">
        <v>159</v>
      </c>
      <c r="G86" s="476" t="s">
        <v>346</v>
      </c>
      <c r="H86" s="479" t="s">
        <v>71</v>
      </c>
      <c r="I86" s="477" t="s">
        <v>316</v>
      </c>
      <c r="J86" s="77" t="s">
        <v>157</v>
      </c>
      <c r="K86" s="77">
        <v>1</v>
      </c>
      <c r="L86" s="77"/>
      <c r="M86" s="194" t="s">
        <v>298</v>
      </c>
    </row>
    <row r="87" spans="1:13" x14ac:dyDescent="0.3">
      <c r="A87" s="104">
        <v>5</v>
      </c>
      <c r="B87" s="137">
        <v>46010</v>
      </c>
      <c r="C87" s="175">
        <v>0.66666666666666663</v>
      </c>
      <c r="D87" s="175">
        <v>0.79166666666666663</v>
      </c>
      <c r="E87" s="175">
        <v>0.125</v>
      </c>
      <c r="F87" s="385" t="s">
        <v>124</v>
      </c>
      <c r="G87" s="385" t="s">
        <v>258</v>
      </c>
      <c r="H87" s="89" t="s">
        <v>129</v>
      </c>
      <c r="I87" s="76" t="s">
        <v>316</v>
      </c>
      <c r="J87" s="107"/>
      <c r="K87" s="77">
        <v>1</v>
      </c>
      <c r="L87" s="415">
        <f>SUM(K3:K87)</f>
        <v>36</v>
      </c>
      <c r="M87" s="120"/>
    </row>
    <row r="88" spans="1:13" s="86" customFormat="1" x14ac:dyDescent="0.3">
      <c r="A88" s="102">
        <v>6</v>
      </c>
      <c r="B88" s="137">
        <v>46011</v>
      </c>
      <c r="C88" s="169"/>
      <c r="D88" s="169"/>
      <c r="E88" s="169"/>
      <c r="F88" s="117"/>
      <c r="G88" s="129"/>
      <c r="H88" s="365"/>
      <c r="I88" s="178"/>
      <c r="J88" s="100"/>
      <c r="K88" s="178"/>
      <c r="L88" s="178"/>
      <c r="M88" s="129"/>
    </row>
    <row r="89" spans="1:13" x14ac:dyDescent="0.3">
      <c r="A89" s="109">
        <v>7</v>
      </c>
      <c r="B89" s="136">
        <v>46012</v>
      </c>
      <c r="C89" s="399"/>
      <c r="D89" s="399"/>
      <c r="E89" s="401"/>
      <c r="F89" s="119"/>
      <c r="G89" s="121"/>
      <c r="H89" s="369"/>
      <c r="I89" s="359"/>
      <c r="J89" s="112"/>
      <c r="K89" s="359"/>
      <c r="L89" s="359"/>
      <c r="M89" s="121"/>
    </row>
    <row r="90" spans="1:13" x14ac:dyDescent="0.3">
      <c r="A90" s="138">
        <v>1</v>
      </c>
      <c r="B90" s="139">
        <v>46013</v>
      </c>
      <c r="C90" s="363"/>
      <c r="D90" s="363"/>
      <c r="E90" s="363"/>
      <c r="F90" s="161"/>
      <c r="G90" s="141"/>
      <c r="H90" s="372"/>
      <c r="I90" s="362"/>
      <c r="J90" s="142"/>
      <c r="K90" s="362"/>
      <c r="L90" s="362"/>
      <c r="M90" s="141" t="s">
        <v>158</v>
      </c>
    </row>
    <row r="91" spans="1:13" x14ac:dyDescent="0.3">
      <c r="A91" s="138">
        <v>2</v>
      </c>
      <c r="B91" s="139">
        <v>46014</v>
      </c>
      <c r="C91" s="363"/>
      <c r="D91" s="363"/>
      <c r="E91" s="363"/>
      <c r="F91" s="143"/>
      <c r="G91" s="141"/>
      <c r="H91" s="372"/>
      <c r="I91" s="362"/>
      <c r="J91" s="142"/>
      <c r="K91" s="362"/>
      <c r="L91" s="362"/>
      <c r="M91" s="141" t="s">
        <v>158</v>
      </c>
    </row>
    <row r="92" spans="1:13" x14ac:dyDescent="0.3">
      <c r="A92" s="138">
        <v>3</v>
      </c>
      <c r="B92" s="139">
        <v>46015</v>
      </c>
      <c r="C92" s="363"/>
      <c r="D92" s="363"/>
      <c r="E92" s="363"/>
      <c r="F92" s="143"/>
      <c r="G92" s="141"/>
      <c r="H92" s="372"/>
      <c r="I92" s="362"/>
      <c r="J92" s="142"/>
      <c r="K92" s="362"/>
      <c r="L92" s="362"/>
      <c r="M92" s="141" t="s">
        <v>158</v>
      </c>
    </row>
    <row r="93" spans="1:13" x14ac:dyDescent="0.3">
      <c r="A93" s="138">
        <v>4</v>
      </c>
      <c r="B93" s="144">
        <v>46016</v>
      </c>
      <c r="C93" s="363"/>
      <c r="D93" s="363"/>
      <c r="E93" s="363"/>
      <c r="F93" s="143"/>
      <c r="G93" s="141"/>
      <c r="H93" s="372"/>
      <c r="I93" s="362"/>
      <c r="J93" s="142"/>
      <c r="K93" s="362"/>
      <c r="L93" s="362"/>
      <c r="M93" s="141" t="s">
        <v>158</v>
      </c>
    </row>
    <row r="94" spans="1:13" x14ac:dyDescent="0.3">
      <c r="A94" s="138">
        <v>5</v>
      </c>
      <c r="B94" s="144">
        <v>46017</v>
      </c>
      <c r="C94" s="363"/>
      <c r="D94" s="363"/>
      <c r="E94" s="363"/>
      <c r="F94" s="161"/>
      <c r="G94" s="141"/>
      <c r="H94" s="372"/>
      <c r="I94" s="362"/>
      <c r="J94" s="142"/>
      <c r="K94" s="362"/>
      <c r="L94" s="362"/>
      <c r="M94" s="141" t="s">
        <v>158</v>
      </c>
    </row>
    <row r="95" spans="1:13" x14ac:dyDescent="0.3">
      <c r="A95" s="138">
        <v>6</v>
      </c>
      <c r="B95" s="139">
        <v>46018</v>
      </c>
      <c r="C95" s="363"/>
      <c r="D95" s="363"/>
      <c r="E95" s="363"/>
      <c r="F95" s="143"/>
      <c r="G95" s="141"/>
      <c r="H95" s="372"/>
      <c r="I95" s="362"/>
      <c r="J95" s="142"/>
      <c r="K95" s="362"/>
      <c r="L95" s="362"/>
      <c r="M95" s="141" t="s">
        <v>158</v>
      </c>
    </row>
    <row r="96" spans="1:13" x14ac:dyDescent="0.3">
      <c r="A96" s="109">
        <v>7</v>
      </c>
      <c r="B96" s="136">
        <v>46019</v>
      </c>
      <c r="C96" s="399"/>
      <c r="D96" s="399"/>
      <c r="E96" s="401"/>
      <c r="F96" s="119"/>
      <c r="G96" s="121"/>
      <c r="H96" s="369"/>
      <c r="I96" s="359"/>
      <c r="J96" s="112"/>
      <c r="K96" s="359"/>
      <c r="L96" s="359"/>
      <c r="M96" s="121" t="s">
        <v>158</v>
      </c>
    </row>
    <row r="97" spans="1:13" x14ac:dyDescent="0.3">
      <c r="A97" s="138">
        <v>1</v>
      </c>
      <c r="B97" s="139">
        <v>46020</v>
      </c>
      <c r="C97" s="363"/>
      <c r="D97" s="363"/>
      <c r="E97" s="363"/>
      <c r="F97" s="143"/>
      <c r="G97" s="141"/>
      <c r="H97" s="372"/>
      <c r="I97" s="362"/>
      <c r="J97" s="142"/>
      <c r="K97" s="362"/>
      <c r="L97" s="362"/>
      <c r="M97" s="141" t="s">
        <v>158</v>
      </c>
    </row>
    <row r="98" spans="1:13" x14ac:dyDescent="0.3">
      <c r="A98" s="138">
        <v>2</v>
      </c>
      <c r="B98" s="139">
        <v>46021</v>
      </c>
      <c r="C98" s="363"/>
      <c r="D98" s="363"/>
      <c r="E98" s="363"/>
      <c r="F98" s="143"/>
      <c r="G98" s="141"/>
      <c r="H98" s="372"/>
      <c r="I98" s="362"/>
      <c r="J98" s="142"/>
      <c r="K98" s="362"/>
      <c r="L98" s="362"/>
      <c r="M98" s="141" t="s">
        <v>158</v>
      </c>
    </row>
    <row r="99" spans="1:13" x14ac:dyDescent="0.3">
      <c r="A99" s="138">
        <v>3</v>
      </c>
      <c r="B99" s="139">
        <v>46022</v>
      </c>
      <c r="C99" s="363"/>
      <c r="D99" s="363"/>
      <c r="E99" s="363"/>
      <c r="F99" s="143"/>
      <c r="G99" s="141"/>
      <c r="H99" s="372"/>
      <c r="I99" s="362"/>
      <c r="J99" s="142"/>
      <c r="K99" s="362"/>
      <c r="L99" s="362"/>
      <c r="M99" s="141" t="s">
        <v>158</v>
      </c>
    </row>
    <row r="100" spans="1:13" x14ac:dyDescent="0.3">
      <c r="A100" s="138">
        <v>4</v>
      </c>
      <c r="B100" s="144">
        <v>46023</v>
      </c>
      <c r="C100" s="363"/>
      <c r="D100" s="363"/>
      <c r="E100" s="363"/>
      <c r="F100" s="143"/>
      <c r="G100" s="141"/>
      <c r="H100" s="372"/>
      <c r="I100" s="362"/>
      <c r="J100" s="142"/>
      <c r="K100" s="362"/>
      <c r="L100" s="362"/>
      <c r="M100" s="141" t="s">
        <v>158</v>
      </c>
    </row>
    <row r="101" spans="1:13" x14ac:dyDescent="0.3">
      <c r="A101" s="138">
        <v>5</v>
      </c>
      <c r="B101" s="139">
        <v>46024</v>
      </c>
      <c r="C101" s="363"/>
      <c r="D101" s="363"/>
      <c r="E101" s="363"/>
      <c r="F101" s="143"/>
      <c r="G101" s="141"/>
      <c r="H101" s="372"/>
      <c r="I101" s="362"/>
      <c r="J101" s="142"/>
      <c r="K101" s="362"/>
      <c r="L101" s="362"/>
      <c r="M101" s="141" t="s">
        <v>158</v>
      </c>
    </row>
    <row r="102" spans="1:13" x14ac:dyDescent="0.3">
      <c r="A102" s="138">
        <v>6</v>
      </c>
      <c r="B102" s="139">
        <v>46025</v>
      </c>
      <c r="C102" s="363"/>
      <c r="D102" s="363"/>
      <c r="E102" s="363"/>
      <c r="F102" s="143"/>
      <c r="G102" s="141"/>
      <c r="H102" s="372"/>
      <c r="I102" s="362"/>
      <c r="J102" s="142"/>
      <c r="K102" s="362"/>
      <c r="L102" s="362"/>
      <c r="M102" s="141" t="s">
        <v>158</v>
      </c>
    </row>
    <row r="103" spans="1:13" x14ac:dyDescent="0.3">
      <c r="A103" s="109">
        <v>7</v>
      </c>
      <c r="B103" s="110">
        <v>46026</v>
      </c>
      <c r="C103" s="399"/>
      <c r="D103" s="399"/>
      <c r="E103" s="401"/>
      <c r="F103" s="119"/>
      <c r="G103" s="121"/>
      <c r="H103" s="369"/>
      <c r="I103" s="359"/>
      <c r="J103" s="112"/>
      <c r="K103" s="359"/>
      <c r="L103" s="359"/>
      <c r="M103" s="121" t="s">
        <v>158</v>
      </c>
    </row>
    <row r="104" spans="1:13" x14ac:dyDescent="0.3">
      <c r="A104" s="138">
        <v>1</v>
      </c>
      <c r="B104" s="139">
        <v>46027</v>
      </c>
      <c r="C104" s="363"/>
      <c r="D104" s="363"/>
      <c r="E104" s="363"/>
      <c r="F104" s="162"/>
      <c r="G104" s="140"/>
      <c r="H104" s="363"/>
      <c r="I104" s="363"/>
      <c r="J104" s="140"/>
      <c r="K104" s="403"/>
      <c r="L104" s="403"/>
      <c r="M104" s="189" t="s">
        <v>158</v>
      </c>
    </row>
    <row r="105" spans="1:13" x14ac:dyDescent="0.3">
      <c r="A105" s="138">
        <v>2</v>
      </c>
      <c r="B105" s="144">
        <v>46028</v>
      </c>
      <c r="C105" s="363"/>
      <c r="D105" s="363"/>
      <c r="E105" s="363"/>
      <c r="F105" s="162"/>
      <c r="G105" s="140"/>
      <c r="H105" s="363"/>
      <c r="I105" s="363"/>
      <c r="J105" s="140"/>
      <c r="K105" s="403"/>
      <c r="L105" s="403"/>
      <c r="M105" s="189" t="s">
        <v>158</v>
      </c>
    </row>
    <row r="106" spans="1:13" x14ac:dyDescent="0.3">
      <c r="A106" s="104">
        <v>3</v>
      </c>
      <c r="B106" s="137">
        <v>46029</v>
      </c>
      <c r="C106" s="175"/>
      <c r="D106" s="175"/>
      <c r="E106" s="175"/>
      <c r="F106" s="108"/>
      <c r="G106" s="120"/>
      <c r="H106" s="368"/>
      <c r="I106" s="77"/>
      <c r="J106" s="107"/>
      <c r="K106" s="77"/>
      <c r="L106" s="77"/>
      <c r="M106" s="120"/>
    </row>
    <row r="107" spans="1:13" s="173" customFormat="1" x14ac:dyDescent="0.35">
      <c r="A107" s="122">
        <v>4</v>
      </c>
      <c r="B107" s="168">
        <v>46030</v>
      </c>
      <c r="C107" s="169">
        <v>0.75</v>
      </c>
      <c r="D107" s="169">
        <v>0.875</v>
      </c>
      <c r="E107" s="169">
        <v>0.125</v>
      </c>
      <c r="F107" s="385" t="s">
        <v>132</v>
      </c>
      <c r="G107" s="385" t="s">
        <v>368</v>
      </c>
      <c r="H107" s="89" t="s">
        <v>129</v>
      </c>
      <c r="I107" s="76" t="s">
        <v>316</v>
      </c>
      <c r="J107" s="77"/>
      <c r="K107" s="77">
        <v>1</v>
      </c>
      <c r="L107" s="77"/>
      <c r="M107" s="172"/>
    </row>
    <row r="108" spans="1:13" x14ac:dyDescent="0.3">
      <c r="A108" s="104">
        <v>5</v>
      </c>
      <c r="B108" s="137">
        <v>46031</v>
      </c>
      <c r="C108" s="175">
        <v>0.66666666666666663</v>
      </c>
      <c r="D108" s="175">
        <v>0.79166666666666663</v>
      </c>
      <c r="E108" s="175">
        <v>0.125</v>
      </c>
      <c r="F108" s="385" t="s">
        <v>132</v>
      </c>
      <c r="G108" s="385" t="s">
        <v>368</v>
      </c>
      <c r="H108" s="89" t="s">
        <v>129</v>
      </c>
      <c r="I108" s="76" t="s">
        <v>316</v>
      </c>
      <c r="J108" s="107"/>
      <c r="K108" s="77">
        <v>1</v>
      </c>
      <c r="L108" s="77"/>
      <c r="M108" s="120"/>
    </row>
    <row r="109" spans="1:13" x14ac:dyDescent="0.3">
      <c r="A109" s="104">
        <v>6</v>
      </c>
      <c r="B109" s="137">
        <v>46032</v>
      </c>
      <c r="C109" s="175"/>
      <c r="D109" s="175"/>
      <c r="E109" s="175"/>
      <c r="F109" s="108"/>
      <c r="G109" s="120"/>
      <c r="H109" s="368"/>
      <c r="I109" s="77"/>
      <c r="J109" s="107"/>
      <c r="K109" s="77"/>
      <c r="L109" s="77"/>
      <c r="M109" s="120"/>
    </row>
    <row r="110" spans="1:13" x14ac:dyDescent="0.3">
      <c r="A110" s="109">
        <v>7</v>
      </c>
      <c r="B110" s="110">
        <v>46033</v>
      </c>
      <c r="C110" s="399"/>
      <c r="D110" s="399"/>
      <c r="E110" s="401"/>
      <c r="F110" s="119"/>
      <c r="G110" s="121"/>
      <c r="H110" s="369"/>
      <c r="I110" s="359"/>
      <c r="J110" s="112"/>
      <c r="K110" s="359"/>
      <c r="L110" s="359"/>
      <c r="M110" s="121"/>
    </row>
    <row r="111" spans="1:13" x14ac:dyDescent="0.3">
      <c r="A111" s="104">
        <v>1</v>
      </c>
      <c r="B111" s="137">
        <v>46034</v>
      </c>
      <c r="C111" s="175"/>
      <c r="D111" s="175"/>
      <c r="E111" s="175"/>
      <c r="F111" s="108"/>
      <c r="G111" s="120"/>
      <c r="H111" s="368"/>
      <c r="I111" s="77"/>
      <c r="J111" s="107"/>
      <c r="K111" s="77"/>
      <c r="L111" s="77"/>
      <c r="M111" s="120"/>
    </row>
    <row r="112" spans="1:13" s="173" customFormat="1" x14ac:dyDescent="0.35">
      <c r="A112" s="122">
        <v>2</v>
      </c>
      <c r="B112" s="168">
        <v>46035</v>
      </c>
      <c r="C112" s="169">
        <v>0.75</v>
      </c>
      <c r="D112" s="169">
        <v>0.875</v>
      </c>
      <c r="E112" s="169">
        <v>0.125</v>
      </c>
      <c r="F112" s="379" t="s">
        <v>85</v>
      </c>
      <c r="G112" s="379" t="s">
        <v>262</v>
      </c>
      <c r="H112" s="368" t="s">
        <v>38</v>
      </c>
      <c r="I112" s="77"/>
      <c r="J112" s="123" t="s">
        <v>157</v>
      </c>
      <c r="K112" s="77">
        <v>1</v>
      </c>
      <c r="L112" s="77"/>
      <c r="M112" s="172"/>
    </row>
    <row r="113" spans="1:13" x14ac:dyDescent="0.3">
      <c r="A113" s="104">
        <v>3</v>
      </c>
      <c r="B113" s="137">
        <v>46036</v>
      </c>
      <c r="C113" s="175"/>
      <c r="D113" s="175"/>
      <c r="E113" s="175"/>
      <c r="F113" s="379"/>
      <c r="G113" s="379"/>
      <c r="H113" s="379"/>
      <c r="I113" s="77"/>
      <c r="J113" s="77"/>
      <c r="K113" s="77"/>
      <c r="L113" s="77"/>
      <c r="M113" s="120"/>
    </row>
    <row r="114" spans="1:13" x14ac:dyDescent="0.3">
      <c r="A114" s="104">
        <v>4</v>
      </c>
      <c r="B114" s="137">
        <v>46037</v>
      </c>
      <c r="C114" s="169">
        <v>0.75</v>
      </c>
      <c r="D114" s="169">
        <v>0.875</v>
      </c>
      <c r="E114" s="169">
        <v>0.125</v>
      </c>
      <c r="F114" s="379" t="s">
        <v>85</v>
      </c>
      <c r="G114" s="379" t="s">
        <v>263</v>
      </c>
      <c r="H114" s="368" t="s">
        <v>38</v>
      </c>
      <c r="I114" s="77"/>
      <c r="J114" s="123" t="s">
        <v>157</v>
      </c>
      <c r="K114" s="77">
        <v>1</v>
      </c>
      <c r="L114" s="77"/>
      <c r="M114" s="120"/>
    </row>
    <row r="115" spans="1:13" x14ac:dyDescent="0.3">
      <c r="A115" s="104">
        <v>5</v>
      </c>
      <c r="B115" s="137">
        <v>46038</v>
      </c>
      <c r="C115" s="175">
        <v>0.66666666666666663</v>
      </c>
      <c r="D115" s="175">
        <v>0.79166666666666663</v>
      </c>
      <c r="E115" s="175">
        <v>0.125</v>
      </c>
      <c r="F115" s="379" t="s">
        <v>85</v>
      </c>
      <c r="G115" s="379" t="s">
        <v>301</v>
      </c>
      <c r="H115" s="368" t="s">
        <v>38</v>
      </c>
      <c r="I115" s="77"/>
      <c r="J115" s="123" t="s">
        <v>157</v>
      </c>
      <c r="K115" s="77">
        <v>1</v>
      </c>
      <c r="L115" s="77"/>
      <c r="M115" s="120"/>
    </row>
    <row r="116" spans="1:13" x14ac:dyDescent="0.3">
      <c r="A116" s="104">
        <v>6</v>
      </c>
      <c r="B116" s="137">
        <v>46039</v>
      </c>
      <c r="C116" s="175"/>
      <c r="D116" s="175"/>
      <c r="E116" s="175"/>
      <c r="F116" s="108"/>
      <c r="G116" s="120"/>
      <c r="H116" s="368"/>
      <c r="I116" s="77"/>
      <c r="J116" s="107"/>
      <c r="K116" s="77"/>
      <c r="L116" s="77"/>
      <c r="M116" s="120"/>
    </row>
    <row r="117" spans="1:13" x14ac:dyDescent="0.3">
      <c r="A117" s="109">
        <v>7</v>
      </c>
      <c r="B117" s="110">
        <v>46040</v>
      </c>
      <c r="C117" s="399"/>
      <c r="D117" s="399"/>
      <c r="E117" s="401"/>
      <c r="F117" s="119"/>
      <c r="G117" s="121"/>
      <c r="H117" s="369"/>
      <c r="I117" s="359"/>
      <c r="J117" s="112"/>
      <c r="K117" s="359"/>
      <c r="L117" s="359"/>
      <c r="M117" s="121"/>
    </row>
    <row r="118" spans="1:13" x14ac:dyDescent="0.3">
      <c r="A118" s="104">
        <v>1</v>
      </c>
      <c r="B118" s="137">
        <v>46041</v>
      </c>
      <c r="C118" s="175"/>
      <c r="D118" s="175"/>
      <c r="E118" s="175"/>
      <c r="F118" s="108"/>
      <c r="G118" s="120"/>
      <c r="H118" s="368"/>
      <c r="I118" s="77"/>
      <c r="J118" s="107"/>
      <c r="K118" s="77"/>
      <c r="L118" s="77"/>
      <c r="M118" s="120"/>
    </row>
    <row r="119" spans="1:13" s="173" customFormat="1" x14ac:dyDescent="0.35">
      <c r="A119" s="122">
        <v>2</v>
      </c>
      <c r="B119" s="168">
        <v>46042</v>
      </c>
      <c r="C119" s="169">
        <v>0.75</v>
      </c>
      <c r="D119" s="169">
        <v>0.875</v>
      </c>
      <c r="E119" s="169">
        <v>0.125</v>
      </c>
      <c r="F119" s="379" t="s">
        <v>85</v>
      </c>
      <c r="G119" s="379" t="s">
        <v>264</v>
      </c>
      <c r="H119" s="368" t="s">
        <v>95</v>
      </c>
      <c r="I119" s="77"/>
      <c r="J119" s="123"/>
      <c r="K119" s="77">
        <v>1</v>
      </c>
      <c r="L119" s="77"/>
      <c r="M119" s="172"/>
    </row>
    <row r="120" spans="1:13" s="173" customFormat="1" x14ac:dyDescent="0.35">
      <c r="A120" s="122">
        <v>3</v>
      </c>
      <c r="B120" s="168">
        <v>46043</v>
      </c>
      <c r="C120" s="175"/>
      <c r="D120" s="175"/>
      <c r="E120" s="175"/>
      <c r="F120" s="379"/>
      <c r="G120" s="379"/>
      <c r="H120" s="379"/>
      <c r="I120" s="379"/>
      <c r="J120" s="379"/>
      <c r="K120" s="77"/>
      <c r="L120" s="77"/>
      <c r="M120" s="172"/>
    </row>
    <row r="121" spans="1:13" s="173" customFormat="1" x14ac:dyDescent="0.35">
      <c r="A121" s="122">
        <v>4</v>
      </c>
      <c r="B121" s="168">
        <v>46044</v>
      </c>
      <c r="C121" s="169">
        <v>0.75</v>
      </c>
      <c r="D121" s="169">
        <v>0.875</v>
      </c>
      <c r="E121" s="169">
        <v>0.125</v>
      </c>
      <c r="F121" s="379" t="s">
        <v>85</v>
      </c>
      <c r="G121" s="171" t="s">
        <v>347</v>
      </c>
      <c r="H121" s="77" t="s">
        <v>88</v>
      </c>
      <c r="I121" s="77"/>
      <c r="J121" s="77" t="s">
        <v>157</v>
      </c>
      <c r="K121" s="77">
        <v>1</v>
      </c>
      <c r="L121" s="77"/>
      <c r="M121" s="172"/>
    </row>
    <row r="122" spans="1:13" s="173" customFormat="1" x14ac:dyDescent="0.35">
      <c r="A122" s="122">
        <v>5</v>
      </c>
      <c r="B122" s="168">
        <v>46045</v>
      </c>
      <c r="C122" s="175">
        <v>0.66666666666666663</v>
      </c>
      <c r="D122" s="175">
        <v>0.79166666666666663</v>
      </c>
      <c r="E122" s="175">
        <v>0.125</v>
      </c>
      <c r="F122" s="379" t="s">
        <v>85</v>
      </c>
      <c r="G122" s="171" t="s">
        <v>348</v>
      </c>
      <c r="H122" s="77" t="s">
        <v>88</v>
      </c>
      <c r="I122" s="77"/>
      <c r="J122" s="77" t="s">
        <v>157</v>
      </c>
      <c r="K122" s="77">
        <v>1</v>
      </c>
      <c r="L122" s="77"/>
      <c r="M122" s="172"/>
    </row>
    <row r="123" spans="1:13" x14ac:dyDescent="0.3">
      <c r="A123" s="104">
        <v>6</v>
      </c>
      <c r="B123" s="137">
        <v>46046</v>
      </c>
      <c r="C123" s="175"/>
      <c r="D123" s="175"/>
      <c r="E123" s="175"/>
      <c r="F123" s="108"/>
      <c r="G123" s="120"/>
      <c r="H123" s="368"/>
      <c r="I123" s="77"/>
      <c r="J123" s="107"/>
      <c r="K123" s="77"/>
      <c r="L123" s="77"/>
      <c r="M123" s="120"/>
    </row>
    <row r="124" spans="1:13" x14ac:dyDescent="0.3">
      <c r="A124" s="109">
        <v>7</v>
      </c>
      <c r="B124" s="110">
        <v>46047</v>
      </c>
      <c r="C124" s="399"/>
      <c r="D124" s="399"/>
      <c r="E124" s="401"/>
      <c r="F124" s="119"/>
      <c r="G124" s="121"/>
      <c r="H124" s="369"/>
      <c r="I124" s="359"/>
      <c r="J124" s="112"/>
      <c r="K124" s="359"/>
      <c r="L124" s="359"/>
      <c r="M124" s="121"/>
    </row>
    <row r="125" spans="1:13" x14ac:dyDescent="0.3">
      <c r="A125" s="104">
        <v>1</v>
      </c>
      <c r="B125" s="137">
        <v>46048</v>
      </c>
      <c r="C125" s="175"/>
      <c r="D125" s="175"/>
      <c r="E125" s="175"/>
      <c r="F125" s="108"/>
      <c r="G125" s="120"/>
      <c r="H125" s="368"/>
      <c r="I125" s="77"/>
      <c r="J125" s="107"/>
      <c r="K125" s="77"/>
      <c r="L125" s="77"/>
      <c r="M125" s="120"/>
    </row>
    <row r="126" spans="1:13" s="173" customFormat="1" x14ac:dyDescent="0.35">
      <c r="A126" s="122">
        <v>2</v>
      </c>
      <c r="B126" s="168">
        <v>46049</v>
      </c>
      <c r="C126" s="169">
        <v>0.75</v>
      </c>
      <c r="D126" s="169">
        <v>0.875</v>
      </c>
      <c r="E126" s="169">
        <v>0.125</v>
      </c>
      <c r="F126" s="379" t="s">
        <v>37</v>
      </c>
      <c r="G126" s="379" t="s">
        <v>268</v>
      </c>
      <c r="H126" s="368" t="s">
        <v>38</v>
      </c>
      <c r="I126" s="77"/>
      <c r="J126" s="77" t="s">
        <v>157</v>
      </c>
      <c r="K126" s="77">
        <v>1</v>
      </c>
      <c r="L126" s="77"/>
      <c r="M126" s="172"/>
    </row>
    <row r="127" spans="1:13" x14ac:dyDescent="0.3">
      <c r="A127" s="104">
        <v>3</v>
      </c>
      <c r="B127" s="137">
        <v>46050</v>
      </c>
      <c r="C127" s="175"/>
      <c r="D127" s="175"/>
      <c r="E127" s="175"/>
      <c r="F127" s="379"/>
      <c r="G127" s="379"/>
      <c r="H127" s="379"/>
      <c r="I127" s="77"/>
      <c r="J127" s="77"/>
      <c r="K127" s="77"/>
      <c r="L127" s="77"/>
      <c r="M127" s="120"/>
    </row>
    <row r="128" spans="1:13" x14ac:dyDescent="0.3">
      <c r="A128" s="104">
        <v>4</v>
      </c>
      <c r="B128" s="137">
        <v>46051</v>
      </c>
      <c r="C128" s="169">
        <v>0.75</v>
      </c>
      <c r="D128" s="169">
        <v>0.875</v>
      </c>
      <c r="E128" s="169">
        <v>0.125</v>
      </c>
      <c r="F128" s="379" t="s">
        <v>37</v>
      </c>
      <c r="G128" s="379" t="s">
        <v>269</v>
      </c>
      <c r="H128" s="368" t="s">
        <v>300</v>
      </c>
      <c r="I128" s="77"/>
      <c r="J128" s="77" t="s">
        <v>157</v>
      </c>
      <c r="K128" s="77">
        <v>1</v>
      </c>
      <c r="L128" s="77"/>
      <c r="M128" s="120"/>
    </row>
    <row r="129" spans="1:13" x14ac:dyDescent="0.3">
      <c r="A129" s="104">
        <v>5</v>
      </c>
      <c r="B129" s="137">
        <v>46052</v>
      </c>
      <c r="C129" s="175">
        <v>0.66666666666666663</v>
      </c>
      <c r="D129" s="175">
        <v>0.79166666666666663</v>
      </c>
      <c r="E129" s="175">
        <v>0.125</v>
      </c>
      <c r="F129" s="385" t="s">
        <v>124</v>
      </c>
      <c r="G129" s="385" t="s">
        <v>349</v>
      </c>
      <c r="H129" s="89" t="s">
        <v>129</v>
      </c>
      <c r="I129" s="76" t="s">
        <v>316</v>
      </c>
      <c r="J129" s="107"/>
      <c r="K129" s="77">
        <v>1</v>
      </c>
      <c r="L129" s="77"/>
      <c r="M129" s="120"/>
    </row>
    <row r="130" spans="1:13" x14ac:dyDescent="0.3">
      <c r="A130" s="104">
        <v>6</v>
      </c>
      <c r="B130" s="137">
        <v>46053</v>
      </c>
      <c r="C130" s="175"/>
      <c r="D130" s="175"/>
      <c r="E130" s="175"/>
      <c r="F130" s="108"/>
      <c r="G130" s="120"/>
      <c r="H130" s="368"/>
      <c r="I130" s="77"/>
      <c r="J130" s="107"/>
      <c r="K130" s="77"/>
      <c r="L130" s="77"/>
      <c r="M130" s="120"/>
    </row>
    <row r="131" spans="1:13" x14ac:dyDescent="0.3">
      <c r="A131" s="109">
        <v>7</v>
      </c>
      <c r="B131" s="110">
        <v>46054</v>
      </c>
      <c r="C131" s="399"/>
      <c r="D131" s="399"/>
      <c r="E131" s="401"/>
      <c r="F131" s="119"/>
      <c r="G131" s="121"/>
      <c r="H131" s="369"/>
      <c r="I131" s="359"/>
      <c r="J131" s="112"/>
      <c r="K131" s="359"/>
      <c r="L131" s="359"/>
      <c r="M131" s="121"/>
    </row>
    <row r="132" spans="1:13" x14ac:dyDescent="0.3">
      <c r="A132" s="104">
        <v>1</v>
      </c>
      <c r="B132" s="137">
        <v>46055</v>
      </c>
      <c r="C132" s="175"/>
      <c r="D132" s="175"/>
      <c r="E132" s="175"/>
      <c r="F132" s="108"/>
      <c r="G132" s="120"/>
      <c r="H132" s="368"/>
      <c r="I132" s="77"/>
      <c r="J132" s="107"/>
      <c r="K132" s="77"/>
      <c r="L132" s="77"/>
      <c r="M132" s="120"/>
    </row>
    <row r="133" spans="1:13" x14ac:dyDescent="0.3">
      <c r="A133" s="104">
        <v>2</v>
      </c>
      <c r="B133" s="137">
        <v>46056</v>
      </c>
      <c r="C133" s="169">
        <v>0.75</v>
      </c>
      <c r="D133" s="169">
        <v>0.875</v>
      </c>
      <c r="E133" s="169">
        <v>0.125</v>
      </c>
      <c r="F133" s="379" t="s">
        <v>37</v>
      </c>
      <c r="G133" s="379" t="s">
        <v>270</v>
      </c>
      <c r="H133" s="368" t="s">
        <v>300</v>
      </c>
      <c r="I133" s="77"/>
      <c r="J133" s="77" t="s">
        <v>157</v>
      </c>
      <c r="K133" s="77">
        <v>1</v>
      </c>
      <c r="L133" s="77"/>
      <c r="M133" s="120"/>
    </row>
    <row r="134" spans="1:13" x14ac:dyDescent="0.3">
      <c r="A134" s="104">
        <v>3</v>
      </c>
      <c r="B134" s="137">
        <v>46057</v>
      </c>
      <c r="C134" s="175"/>
      <c r="D134" s="175"/>
      <c r="E134" s="175"/>
      <c r="F134" s="108"/>
      <c r="G134" s="120"/>
      <c r="H134" s="368"/>
      <c r="I134" s="77"/>
      <c r="J134" s="107"/>
      <c r="K134" s="77"/>
      <c r="L134" s="77"/>
      <c r="M134" s="120"/>
    </row>
    <row r="135" spans="1:13" x14ac:dyDescent="0.3">
      <c r="A135" s="104">
        <v>4</v>
      </c>
      <c r="B135" s="137">
        <v>46058</v>
      </c>
      <c r="C135" s="169">
        <v>0.75</v>
      </c>
      <c r="D135" s="169">
        <v>0.875</v>
      </c>
      <c r="E135" s="169">
        <v>0.125</v>
      </c>
      <c r="F135" s="379" t="s">
        <v>37</v>
      </c>
      <c r="G135" s="379" t="s">
        <v>271</v>
      </c>
      <c r="H135" s="368" t="s">
        <v>300</v>
      </c>
      <c r="I135" s="77"/>
      <c r="J135" s="77" t="s">
        <v>157</v>
      </c>
      <c r="K135" s="77">
        <v>1</v>
      </c>
      <c r="L135" s="77"/>
      <c r="M135" s="120"/>
    </row>
    <row r="136" spans="1:13" x14ac:dyDescent="0.3">
      <c r="A136" s="104">
        <v>5</v>
      </c>
      <c r="B136" s="137">
        <v>46059</v>
      </c>
      <c r="C136" s="175">
        <v>0.66666666666666663</v>
      </c>
      <c r="D136" s="175">
        <v>0.79166666666666663</v>
      </c>
      <c r="E136" s="175">
        <v>0.125</v>
      </c>
      <c r="F136" s="379" t="s">
        <v>37</v>
      </c>
      <c r="G136" s="379" t="s">
        <v>272</v>
      </c>
      <c r="H136" s="77" t="s">
        <v>25</v>
      </c>
      <c r="I136" s="77" t="s">
        <v>41</v>
      </c>
      <c r="J136" s="77" t="s">
        <v>157</v>
      </c>
      <c r="K136" s="77">
        <v>1</v>
      </c>
      <c r="L136" s="77"/>
      <c r="M136" s="120"/>
    </row>
    <row r="137" spans="1:13" x14ac:dyDescent="0.3">
      <c r="A137" s="104">
        <v>6</v>
      </c>
      <c r="B137" s="137">
        <v>46060</v>
      </c>
      <c r="C137" s="175"/>
      <c r="D137" s="175"/>
      <c r="E137" s="175"/>
      <c r="F137" s="108"/>
      <c r="G137" s="120"/>
      <c r="H137" s="368"/>
      <c r="I137" s="77"/>
      <c r="J137" s="107"/>
      <c r="K137" s="77"/>
      <c r="L137" s="77"/>
      <c r="M137" s="120"/>
    </row>
    <row r="138" spans="1:13" x14ac:dyDescent="0.3">
      <c r="A138" s="109">
        <v>7</v>
      </c>
      <c r="B138" s="110">
        <v>46061</v>
      </c>
      <c r="C138" s="399"/>
      <c r="D138" s="399"/>
      <c r="E138" s="401"/>
      <c r="F138" s="119"/>
      <c r="G138" s="121"/>
      <c r="H138" s="369"/>
      <c r="I138" s="359"/>
      <c r="J138" s="112"/>
      <c r="K138" s="359"/>
      <c r="L138" s="359"/>
      <c r="M138" s="121"/>
    </row>
    <row r="139" spans="1:13" x14ac:dyDescent="0.3">
      <c r="A139" s="104">
        <v>1</v>
      </c>
      <c r="B139" s="137">
        <v>46062</v>
      </c>
      <c r="C139" s="175"/>
      <c r="D139" s="175"/>
      <c r="E139" s="175"/>
      <c r="F139" s="108"/>
      <c r="G139" s="120"/>
      <c r="H139" s="368"/>
      <c r="I139" s="77"/>
      <c r="J139" s="107"/>
      <c r="K139" s="77"/>
      <c r="L139" s="77"/>
      <c r="M139" s="120"/>
    </row>
    <row r="140" spans="1:13" x14ac:dyDescent="0.3">
      <c r="A140" s="104">
        <v>2</v>
      </c>
      <c r="B140" s="137">
        <v>46063</v>
      </c>
      <c r="C140" s="169">
        <v>0.75</v>
      </c>
      <c r="D140" s="169">
        <v>0.875</v>
      </c>
      <c r="E140" s="169">
        <v>0.125</v>
      </c>
      <c r="F140" s="379" t="s">
        <v>37</v>
      </c>
      <c r="G140" s="379" t="s">
        <v>273</v>
      </c>
      <c r="H140" s="77" t="s">
        <v>316</v>
      </c>
      <c r="I140" s="77" t="s">
        <v>95</v>
      </c>
      <c r="J140" s="77"/>
      <c r="K140" s="77">
        <v>1</v>
      </c>
      <c r="L140" s="77"/>
      <c r="M140" s="120"/>
    </row>
    <row r="141" spans="1:13" x14ac:dyDescent="0.3">
      <c r="A141" s="104">
        <v>3</v>
      </c>
      <c r="B141" s="137">
        <v>46064</v>
      </c>
      <c r="C141" s="175"/>
      <c r="D141" s="175"/>
      <c r="E141" s="175"/>
      <c r="F141" s="379"/>
      <c r="G141" s="379"/>
      <c r="H141" s="77"/>
      <c r="I141" s="77"/>
      <c r="J141" s="77"/>
      <c r="K141" s="77"/>
      <c r="L141" s="77"/>
      <c r="M141" s="68" t="s">
        <v>299</v>
      </c>
    </row>
    <row r="142" spans="1:13" x14ac:dyDescent="0.3">
      <c r="A142" s="104">
        <v>4</v>
      </c>
      <c r="B142" s="137">
        <v>46065</v>
      </c>
      <c r="C142" s="169">
        <v>0.75</v>
      </c>
      <c r="D142" s="169">
        <v>0.875</v>
      </c>
      <c r="E142" s="169">
        <v>0.125</v>
      </c>
      <c r="F142" s="379" t="s">
        <v>37</v>
      </c>
      <c r="G142" s="379" t="s">
        <v>275</v>
      </c>
      <c r="H142" s="77" t="s">
        <v>316</v>
      </c>
      <c r="I142" s="77" t="s">
        <v>95</v>
      </c>
      <c r="J142" s="77"/>
      <c r="K142" s="77">
        <v>1</v>
      </c>
      <c r="L142" s="77"/>
      <c r="M142" s="195" t="s">
        <v>299</v>
      </c>
    </row>
    <row r="143" spans="1:13" x14ac:dyDescent="0.3">
      <c r="A143" s="104">
        <v>5</v>
      </c>
      <c r="B143" s="137">
        <v>46066</v>
      </c>
      <c r="C143" s="175">
        <v>0.66666666666666663</v>
      </c>
      <c r="D143" s="175">
        <v>0.79166666666666663</v>
      </c>
      <c r="E143" s="175">
        <v>0.125</v>
      </c>
      <c r="F143" s="379" t="s">
        <v>37</v>
      </c>
      <c r="G143" s="379" t="s">
        <v>45</v>
      </c>
      <c r="H143" s="368" t="s">
        <v>38</v>
      </c>
      <c r="I143" s="178"/>
      <c r="J143" s="178" t="s">
        <v>157</v>
      </c>
      <c r="K143" s="77">
        <v>1</v>
      </c>
      <c r="L143" s="77"/>
      <c r="M143" s="195" t="s">
        <v>299</v>
      </c>
    </row>
    <row r="144" spans="1:13" x14ac:dyDescent="0.3">
      <c r="A144" s="104">
        <v>6</v>
      </c>
      <c r="B144" s="137">
        <v>46067</v>
      </c>
      <c r="C144" s="175"/>
      <c r="D144" s="175"/>
      <c r="E144" s="175"/>
      <c r="F144" s="108"/>
      <c r="G144" s="120"/>
      <c r="H144" s="368"/>
      <c r="I144" s="77"/>
      <c r="J144" s="107"/>
      <c r="K144" s="77"/>
      <c r="L144" s="77"/>
      <c r="M144" s="120"/>
    </row>
    <row r="145" spans="1:13" x14ac:dyDescent="0.3">
      <c r="A145" s="109">
        <v>7</v>
      </c>
      <c r="B145" s="110">
        <v>46068</v>
      </c>
      <c r="C145" s="399"/>
      <c r="D145" s="399"/>
      <c r="E145" s="401"/>
      <c r="F145" s="119"/>
      <c r="G145" s="121"/>
      <c r="H145" s="369"/>
      <c r="I145" s="359"/>
      <c r="J145" s="112"/>
      <c r="K145" s="359"/>
      <c r="L145" s="359"/>
      <c r="M145" s="121"/>
    </row>
    <row r="146" spans="1:13" x14ac:dyDescent="0.3">
      <c r="A146" s="104">
        <v>1</v>
      </c>
      <c r="B146" s="137">
        <v>46069</v>
      </c>
      <c r="C146" s="175"/>
      <c r="D146" s="175"/>
      <c r="E146" s="175"/>
      <c r="F146" s="108"/>
      <c r="G146" s="120"/>
      <c r="H146" s="368"/>
      <c r="I146" s="77"/>
      <c r="J146" s="107"/>
      <c r="K146" s="77"/>
      <c r="L146" s="77"/>
      <c r="M146" s="120"/>
    </row>
    <row r="147" spans="1:13" x14ac:dyDescent="0.3">
      <c r="A147" s="104">
        <v>2</v>
      </c>
      <c r="B147" s="137">
        <v>46070</v>
      </c>
      <c r="C147" s="169">
        <v>0.75</v>
      </c>
      <c r="D147" s="169">
        <v>0.875</v>
      </c>
      <c r="E147" s="169">
        <v>0.125</v>
      </c>
      <c r="F147" s="379" t="s">
        <v>37</v>
      </c>
      <c r="G147" s="379" t="s">
        <v>276</v>
      </c>
      <c r="H147" s="368" t="s">
        <v>38</v>
      </c>
      <c r="I147" s="178"/>
      <c r="J147" s="178" t="s">
        <v>157</v>
      </c>
      <c r="K147" s="77">
        <v>1</v>
      </c>
      <c r="L147" s="77"/>
      <c r="M147" s="120"/>
    </row>
    <row r="148" spans="1:13" x14ac:dyDescent="0.3">
      <c r="A148" s="104">
        <v>3</v>
      </c>
      <c r="B148" s="137">
        <v>46071</v>
      </c>
      <c r="C148" s="175"/>
      <c r="D148" s="175"/>
      <c r="E148" s="175"/>
      <c r="F148" s="390"/>
      <c r="G148" s="390"/>
      <c r="H148" s="365"/>
      <c r="I148" s="178"/>
      <c r="J148" s="178"/>
      <c r="K148" s="77"/>
      <c r="L148" s="77"/>
      <c r="M148" s="120"/>
    </row>
    <row r="149" spans="1:13" x14ac:dyDescent="0.3">
      <c r="A149" s="104">
        <v>4</v>
      </c>
      <c r="B149" s="137">
        <v>46072</v>
      </c>
      <c r="C149" s="169">
        <v>0.75</v>
      </c>
      <c r="D149" s="169">
        <v>0.875</v>
      </c>
      <c r="E149" s="169">
        <v>0.125</v>
      </c>
      <c r="F149" s="379" t="s">
        <v>37</v>
      </c>
      <c r="G149" s="379" t="s">
        <v>277</v>
      </c>
      <c r="H149" s="368" t="s">
        <v>38</v>
      </c>
      <c r="I149" s="178"/>
      <c r="J149" s="178" t="s">
        <v>157</v>
      </c>
      <c r="K149" s="77">
        <v>1</v>
      </c>
      <c r="L149" s="77"/>
      <c r="M149" s="120"/>
    </row>
    <row r="150" spans="1:13" x14ac:dyDescent="0.3">
      <c r="A150" s="104">
        <v>5</v>
      </c>
      <c r="B150" s="137">
        <v>46073</v>
      </c>
      <c r="C150" s="175">
        <v>0.66666666666666663</v>
      </c>
      <c r="D150" s="175">
        <v>0.79166666666666663</v>
      </c>
      <c r="E150" s="175">
        <v>0.125</v>
      </c>
      <c r="F150" s="379" t="s">
        <v>37</v>
      </c>
      <c r="G150" s="379" t="s">
        <v>278</v>
      </c>
      <c r="H150" s="365" t="s">
        <v>48</v>
      </c>
      <c r="I150" s="178"/>
      <c r="J150" s="178"/>
      <c r="K150" s="77">
        <v>1</v>
      </c>
      <c r="L150" s="77"/>
      <c r="M150" s="120"/>
    </row>
    <row r="151" spans="1:13" x14ac:dyDescent="0.3">
      <c r="A151" s="104">
        <v>6</v>
      </c>
      <c r="B151" s="137">
        <v>46074</v>
      </c>
      <c r="C151" s="175"/>
      <c r="D151" s="175"/>
      <c r="E151" s="175"/>
      <c r="F151" s="108"/>
      <c r="G151" s="120"/>
      <c r="H151" s="368"/>
      <c r="I151" s="77"/>
      <c r="J151" s="107"/>
      <c r="K151" s="77"/>
      <c r="L151" s="77"/>
      <c r="M151" s="120"/>
    </row>
    <row r="152" spans="1:13" x14ac:dyDescent="0.3">
      <c r="A152" s="109">
        <v>7</v>
      </c>
      <c r="B152" s="110">
        <v>46075</v>
      </c>
      <c r="C152" s="399"/>
      <c r="D152" s="399"/>
      <c r="E152" s="401"/>
      <c r="F152" s="119"/>
      <c r="G152" s="121"/>
      <c r="H152" s="369"/>
      <c r="I152" s="359"/>
      <c r="J152" s="112"/>
      <c r="K152" s="359"/>
      <c r="L152" s="359"/>
      <c r="M152" s="121"/>
    </row>
    <row r="153" spans="1:13" x14ac:dyDescent="0.3">
      <c r="A153" s="104">
        <v>1</v>
      </c>
      <c r="B153" s="137">
        <v>46076</v>
      </c>
      <c r="C153" s="175"/>
      <c r="D153" s="175"/>
      <c r="E153" s="175"/>
      <c r="F153" s="108"/>
      <c r="G153" s="120"/>
      <c r="H153" s="368"/>
      <c r="I153" s="77"/>
      <c r="J153" s="107"/>
      <c r="K153" s="77"/>
      <c r="L153" s="77"/>
      <c r="M153" s="120"/>
    </row>
    <row r="154" spans="1:13" x14ac:dyDescent="0.3">
      <c r="A154" s="104">
        <v>2</v>
      </c>
      <c r="B154" s="137">
        <v>46077</v>
      </c>
      <c r="C154" s="169">
        <v>0.75</v>
      </c>
      <c r="D154" s="169">
        <v>0.875</v>
      </c>
      <c r="E154" s="169">
        <v>0.125</v>
      </c>
      <c r="F154" s="379" t="s">
        <v>37</v>
      </c>
      <c r="G154" s="379" t="s">
        <v>350</v>
      </c>
      <c r="H154" s="365" t="s">
        <v>48</v>
      </c>
      <c r="I154" s="77"/>
      <c r="J154" s="77"/>
      <c r="K154" s="77">
        <v>1</v>
      </c>
      <c r="L154" s="77"/>
      <c r="M154" s="120"/>
    </row>
    <row r="155" spans="1:13" x14ac:dyDescent="0.3">
      <c r="A155" s="104">
        <v>3</v>
      </c>
      <c r="B155" s="137">
        <v>46078</v>
      </c>
      <c r="C155" s="175"/>
      <c r="D155" s="175"/>
      <c r="E155" s="175"/>
      <c r="F155" s="390"/>
      <c r="G155" s="390"/>
      <c r="H155" s="365"/>
      <c r="I155" s="77"/>
      <c r="J155" s="77"/>
      <c r="K155" s="77"/>
      <c r="L155" s="77"/>
      <c r="M155" s="120"/>
    </row>
    <row r="156" spans="1:13" x14ac:dyDescent="0.3">
      <c r="A156" s="104">
        <v>4</v>
      </c>
      <c r="B156" s="137">
        <v>46079</v>
      </c>
      <c r="C156" s="169">
        <v>0.75</v>
      </c>
      <c r="D156" s="169">
        <v>0.875</v>
      </c>
      <c r="E156" s="169">
        <v>0.125</v>
      </c>
      <c r="F156" s="379" t="s">
        <v>37</v>
      </c>
      <c r="G156" s="379" t="s">
        <v>351</v>
      </c>
      <c r="H156" s="365" t="s">
        <v>48</v>
      </c>
      <c r="I156" s="77"/>
      <c r="J156" s="77"/>
      <c r="K156" s="77">
        <v>1</v>
      </c>
      <c r="L156" s="77"/>
      <c r="M156" s="120"/>
    </row>
    <row r="157" spans="1:13" x14ac:dyDescent="0.3">
      <c r="A157" s="104">
        <v>5</v>
      </c>
      <c r="B157" s="137">
        <v>46080</v>
      </c>
      <c r="C157" s="175">
        <v>0.66666666666666663</v>
      </c>
      <c r="D157" s="175">
        <v>0.79166666666666663</v>
      </c>
      <c r="E157" s="175">
        <v>0.125</v>
      </c>
      <c r="F157" s="385" t="s">
        <v>124</v>
      </c>
      <c r="G157" s="385" t="s">
        <v>274</v>
      </c>
      <c r="H157" s="89" t="s">
        <v>129</v>
      </c>
      <c r="I157" s="76" t="s">
        <v>316</v>
      </c>
      <c r="J157" s="107"/>
      <c r="K157" s="77">
        <v>1</v>
      </c>
      <c r="L157" s="77"/>
      <c r="M157" s="120"/>
    </row>
    <row r="158" spans="1:13" x14ac:dyDescent="0.3">
      <c r="A158" s="104">
        <v>6</v>
      </c>
      <c r="B158" s="137">
        <v>46081</v>
      </c>
      <c r="C158" s="175"/>
      <c r="D158" s="175"/>
      <c r="E158" s="175"/>
      <c r="F158" s="108"/>
      <c r="G158" s="120"/>
      <c r="H158" s="368"/>
      <c r="I158" s="77"/>
      <c r="J158" s="107"/>
      <c r="K158" s="77"/>
      <c r="L158" s="77"/>
      <c r="M158" s="120"/>
    </row>
    <row r="159" spans="1:13" x14ac:dyDescent="0.3">
      <c r="A159" s="109">
        <v>7</v>
      </c>
      <c r="B159" s="110">
        <v>46082</v>
      </c>
      <c r="C159" s="399"/>
      <c r="D159" s="399"/>
      <c r="E159" s="401"/>
      <c r="F159" s="119"/>
      <c r="G159" s="121"/>
      <c r="H159" s="369"/>
      <c r="I159" s="359"/>
      <c r="J159" s="112"/>
      <c r="K159" s="359"/>
      <c r="L159" s="359"/>
      <c r="M159" s="121"/>
    </row>
    <row r="160" spans="1:13" x14ac:dyDescent="0.3">
      <c r="A160" s="104">
        <v>1</v>
      </c>
      <c r="B160" s="137">
        <v>46083</v>
      </c>
      <c r="C160" s="175"/>
      <c r="D160" s="175"/>
      <c r="E160" s="175"/>
      <c r="F160" s="108"/>
      <c r="G160" s="120"/>
      <c r="H160" s="368"/>
      <c r="I160" s="77"/>
      <c r="J160" s="107"/>
      <c r="K160" s="77"/>
      <c r="L160" s="77"/>
      <c r="M160" s="120"/>
    </row>
    <row r="161" spans="1:13" x14ac:dyDescent="0.3">
      <c r="A161" s="104">
        <v>2</v>
      </c>
      <c r="B161" s="137">
        <v>46084</v>
      </c>
      <c r="C161" s="169">
        <v>0.75</v>
      </c>
      <c r="D161" s="169">
        <v>0.875</v>
      </c>
      <c r="E161" s="169">
        <v>0.125</v>
      </c>
      <c r="F161" s="379" t="s">
        <v>37</v>
      </c>
      <c r="G161" s="379" t="s">
        <v>50</v>
      </c>
      <c r="H161" s="365" t="s">
        <v>34</v>
      </c>
      <c r="I161" s="77"/>
      <c r="J161" s="77" t="s">
        <v>157</v>
      </c>
      <c r="K161" s="77">
        <v>1</v>
      </c>
      <c r="L161" s="77"/>
      <c r="M161" s="120"/>
    </row>
    <row r="162" spans="1:13" x14ac:dyDescent="0.3">
      <c r="A162" s="104">
        <v>3</v>
      </c>
      <c r="B162" s="137">
        <v>46085</v>
      </c>
      <c r="C162" s="175"/>
      <c r="D162" s="175"/>
      <c r="E162" s="175"/>
      <c r="F162" s="108"/>
      <c r="G162" s="120"/>
      <c r="H162" s="368"/>
      <c r="I162" s="77"/>
      <c r="J162" s="107"/>
      <c r="K162" s="77"/>
      <c r="L162" s="77"/>
      <c r="M162" s="120"/>
    </row>
    <row r="163" spans="1:13" x14ac:dyDescent="0.3">
      <c r="A163" s="104">
        <v>4</v>
      </c>
      <c r="B163" s="137">
        <v>46086</v>
      </c>
      <c r="C163" s="169">
        <v>0.75</v>
      </c>
      <c r="D163" s="169">
        <v>0.875</v>
      </c>
      <c r="E163" s="169">
        <v>0.125</v>
      </c>
      <c r="F163" s="379" t="s">
        <v>37</v>
      </c>
      <c r="G163" s="379" t="s">
        <v>280</v>
      </c>
      <c r="H163" s="365" t="s">
        <v>34</v>
      </c>
      <c r="I163" s="77"/>
      <c r="J163" s="77" t="s">
        <v>157</v>
      </c>
      <c r="K163" s="77">
        <v>1</v>
      </c>
      <c r="L163" s="77"/>
      <c r="M163" s="120"/>
    </row>
    <row r="164" spans="1:13" x14ac:dyDescent="0.3">
      <c r="A164" s="104">
        <v>5</v>
      </c>
      <c r="B164" s="137">
        <v>46087</v>
      </c>
      <c r="C164" s="175">
        <v>0.66666666666666663</v>
      </c>
      <c r="D164" s="175">
        <v>0.79166666666666663</v>
      </c>
      <c r="E164" s="175">
        <v>0.125</v>
      </c>
      <c r="F164" s="379" t="s">
        <v>37</v>
      </c>
      <c r="G164" s="379" t="s">
        <v>52</v>
      </c>
      <c r="H164" s="178" t="s">
        <v>48</v>
      </c>
      <c r="I164" s="365" t="s">
        <v>34</v>
      </c>
      <c r="J164" s="178" t="s">
        <v>157</v>
      </c>
      <c r="K164" s="77">
        <v>1</v>
      </c>
      <c r="L164" s="77"/>
      <c r="M164" s="120"/>
    </row>
    <row r="165" spans="1:13" x14ac:dyDescent="0.3">
      <c r="A165" s="104">
        <v>6</v>
      </c>
      <c r="B165" s="137">
        <v>46088</v>
      </c>
      <c r="C165" s="175"/>
      <c r="D165" s="175"/>
      <c r="E165" s="175"/>
      <c r="F165" s="108"/>
      <c r="G165" s="120"/>
      <c r="H165" s="368"/>
      <c r="I165" s="77"/>
      <c r="J165" s="107"/>
      <c r="K165" s="77"/>
      <c r="L165" s="77"/>
      <c r="M165" s="120"/>
    </row>
    <row r="166" spans="1:13" x14ac:dyDescent="0.3">
      <c r="A166" s="109">
        <v>7</v>
      </c>
      <c r="B166" s="110">
        <v>46089</v>
      </c>
      <c r="C166" s="399"/>
      <c r="D166" s="399"/>
      <c r="E166" s="401"/>
      <c r="F166" s="119"/>
      <c r="G166" s="121"/>
      <c r="H166" s="369"/>
      <c r="I166" s="359"/>
      <c r="J166" s="112"/>
      <c r="K166" s="359"/>
      <c r="L166" s="359"/>
      <c r="M166" s="121"/>
    </row>
    <row r="167" spans="1:13" x14ac:dyDescent="0.3">
      <c r="A167" s="104">
        <v>1</v>
      </c>
      <c r="B167" s="137">
        <v>46090</v>
      </c>
      <c r="C167" s="175"/>
      <c r="D167" s="175"/>
      <c r="E167" s="175"/>
      <c r="F167" s="108"/>
      <c r="G167" s="120"/>
      <c r="H167" s="368"/>
      <c r="I167" s="77"/>
      <c r="J167" s="107"/>
      <c r="K167" s="77"/>
      <c r="L167" s="77"/>
      <c r="M167" s="120"/>
    </row>
    <row r="168" spans="1:13" x14ac:dyDescent="0.3">
      <c r="A168" s="104">
        <v>2</v>
      </c>
      <c r="B168" s="137">
        <v>46091</v>
      </c>
      <c r="C168" s="169">
        <v>0.75</v>
      </c>
      <c r="D168" s="169">
        <v>0.875</v>
      </c>
      <c r="E168" s="169">
        <v>0.125</v>
      </c>
      <c r="F168" s="379" t="s">
        <v>54</v>
      </c>
      <c r="G168" s="379" t="s">
        <v>55</v>
      </c>
      <c r="H168" s="77" t="s">
        <v>316</v>
      </c>
      <c r="I168" s="77"/>
      <c r="J168" s="77"/>
      <c r="K168" s="77">
        <v>1</v>
      </c>
      <c r="L168" s="77"/>
      <c r="M168" s="120"/>
    </row>
    <row r="169" spans="1:13" x14ac:dyDescent="0.3">
      <c r="A169" s="104">
        <v>3</v>
      </c>
      <c r="B169" s="137">
        <v>46092</v>
      </c>
      <c r="C169" s="175"/>
      <c r="D169" s="175"/>
      <c r="E169" s="175"/>
      <c r="F169" s="108"/>
      <c r="G169" s="120"/>
      <c r="H169" s="368"/>
      <c r="I169" s="77"/>
      <c r="J169" s="107"/>
      <c r="K169" s="77"/>
      <c r="L169" s="77"/>
      <c r="M169" s="120"/>
    </row>
    <row r="170" spans="1:13" x14ac:dyDescent="0.3">
      <c r="A170" s="104">
        <v>4</v>
      </c>
      <c r="B170" s="137">
        <v>46093</v>
      </c>
      <c r="C170" s="169">
        <v>0.75</v>
      </c>
      <c r="D170" s="169">
        <v>0.875</v>
      </c>
      <c r="E170" s="169">
        <v>0.125</v>
      </c>
      <c r="F170" s="379" t="s">
        <v>54</v>
      </c>
      <c r="G170" s="379" t="s">
        <v>57</v>
      </c>
      <c r="H170" s="368" t="s">
        <v>316</v>
      </c>
      <c r="I170" s="77"/>
      <c r="J170" s="77"/>
      <c r="K170" s="77">
        <v>1</v>
      </c>
      <c r="L170" s="77"/>
      <c r="M170" s="120"/>
    </row>
    <row r="171" spans="1:13" x14ac:dyDescent="0.3">
      <c r="A171" s="104">
        <v>5</v>
      </c>
      <c r="B171" s="137">
        <v>46094</v>
      </c>
      <c r="C171" s="175">
        <v>0.66666666666666663</v>
      </c>
      <c r="D171" s="175">
        <v>0.79166666666666663</v>
      </c>
      <c r="E171" s="175">
        <v>0.125</v>
      </c>
      <c r="F171" s="379" t="s">
        <v>54</v>
      </c>
      <c r="G171" s="379" t="s">
        <v>58</v>
      </c>
      <c r="H171" s="77" t="s">
        <v>316</v>
      </c>
      <c r="I171" s="77"/>
      <c r="J171" s="107"/>
      <c r="K171" s="77">
        <v>1</v>
      </c>
      <c r="L171" s="77"/>
      <c r="M171" s="120"/>
    </row>
    <row r="172" spans="1:13" x14ac:dyDescent="0.3">
      <c r="A172" s="104">
        <v>6</v>
      </c>
      <c r="B172" s="137">
        <v>46095</v>
      </c>
      <c r="C172" s="175"/>
      <c r="D172" s="175"/>
      <c r="E172" s="175"/>
      <c r="F172" s="108"/>
      <c r="G172" s="120"/>
      <c r="H172" s="368"/>
      <c r="I172" s="77"/>
      <c r="J172" s="107"/>
      <c r="K172" s="77"/>
      <c r="L172" s="77"/>
      <c r="M172" s="120"/>
    </row>
    <row r="173" spans="1:13" x14ac:dyDescent="0.3">
      <c r="A173" s="109">
        <v>7</v>
      </c>
      <c r="B173" s="110">
        <v>46096</v>
      </c>
      <c r="C173" s="399"/>
      <c r="D173" s="399"/>
      <c r="E173" s="401"/>
      <c r="F173" s="119"/>
      <c r="G173" s="121"/>
      <c r="H173" s="369"/>
      <c r="I173" s="359"/>
      <c r="J173" s="112"/>
      <c r="K173" s="359"/>
      <c r="L173" s="359"/>
      <c r="M173" s="121"/>
    </row>
    <row r="174" spans="1:13" x14ac:dyDescent="0.3">
      <c r="A174" s="104">
        <v>1</v>
      </c>
      <c r="B174" s="137">
        <v>46097</v>
      </c>
      <c r="C174" s="175"/>
      <c r="D174" s="175"/>
      <c r="E174" s="175"/>
      <c r="F174" s="108"/>
      <c r="G174" s="120"/>
      <c r="H174" s="368"/>
      <c r="I174" s="77"/>
      <c r="J174" s="107"/>
      <c r="K174" s="77"/>
      <c r="L174" s="77"/>
      <c r="M174" s="120"/>
    </row>
    <row r="175" spans="1:13" x14ac:dyDescent="0.3">
      <c r="A175" s="104">
        <v>2</v>
      </c>
      <c r="B175" s="137">
        <v>46098</v>
      </c>
      <c r="C175" s="169">
        <v>0.75</v>
      </c>
      <c r="D175" s="169">
        <v>0.875</v>
      </c>
      <c r="E175" s="169">
        <v>0.125</v>
      </c>
      <c r="F175" s="379" t="s">
        <v>54</v>
      </c>
      <c r="G175" s="379" t="s">
        <v>286</v>
      </c>
      <c r="H175" s="77" t="s">
        <v>41</v>
      </c>
      <c r="I175" s="77" t="s">
        <v>43</v>
      </c>
      <c r="J175" s="77" t="s">
        <v>157</v>
      </c>
      <c r="K175" s="77">
        <v>1</v>
      </c>
      <c r="L175" s="77"/>
      <c r="M175" s="120"/>
    </row>
    <row r="176" spans="1:13" x14ac:dyDescent="0.3">
      <c r="A176" s="104">
        <v>3</v>
      </c>
      <c r="B176" s="137">
        <v>46099</v>
      </c>
      <c r="C176" s="175"/>
      <c r="D176" s="175"/>
      <c r="E176" s="175"/>
      <c r="F176" s="390"/>
      <c r="G176" s="390"/>
      <c r="H176" s="365"/>
      <c r="I176" s="178"/>
      <c r="J176" s="178"/>
      <c r="K176" s="77"/>
      <c r="L176" s="77"/>
      <c r="M176" s="120"/>
    </row>
    <row r="177" spans="1:13" x14ac:dyDescent="0.3">
      <c r="A177" s="104">
        <v>4</v>
      </c>
      <c r="B177" s="137">
        <v>46100</v>
      </c>
      <c r="C177" s="169">
        <v>0.75</v>
      </c>
      <c r="D177" s="169">
        <v>0.875</v>
      </c>
      <c r="E177" s="169">
        <v>0.125</v>
      </c>
      <c r="F177" s="379" t="s">
        <v>54</v>
      </c>
      <c r="G177" s="379" t="s">
        <v>60</v>
      </c>
      <c r="H177" s="77" t="s">
        <v>61</v>
      </c>
      <c r="I177" s="77"/>
      <c r="J177" s="77" t="s">
        <v>157</v>
      </c>
      <c r="K177" s="77">
        <v>1</v>
      </c>
      <c r="L177" s="77"/>
      <c r="M177" s="120"/>
    </row>
    <row r="178" spans="1:13" s="173" customFormat="1" x14ac:dyDescent="0.35">
      <c r="A178" s="122">
        <v>5</v>
      </c>
      <c r="B178" s="168">
        <v>46101</v>
      </c>
      <c r="C178" s="175">
        <v>0.66666666666666663</v>
      </c>
      <c r="D178" s="175">
        <v>0.79166666666666663</v>
      </c>
      <c r="E178" s="175">
        <v>0.125</v>
      </c>
      <c r="F178" s="379" t="s">
        <v>54</v>
      </c>
      <c r="G178" s="379" t="s">
        <v>62</v>
      </c>
      <c r="H178" s="77" t="s">
        <v>61</v>
      </c>
      <c r="I178" s="77"/>
      <c r="J178" s="77" t="s">
        <v>157</v>
      </c>
      <c r="K178" s="77">
        <v>1</v>
      </c>
      <c r="L178" s="77"/>
      <c r="M178" s="172"/>
    </row>
    <row r="179" spans="1:13" x14ac:dyDescent="0.3">
      <c r="A179" s="104">
        <v>6</v>
      </c>
      <c r="B179" s="137">
        <v>46102</v>
      </c>
      <c r="C179" s="175"/>
      <c r="D179" s="175"/>
      <c r="E179" s="175"/>
      <c r="F179" s="108"/>
      <c r="G179" s="120"/>
      <c r="H179" s="368"/>
      <c r="I179" s="77"/>
      <c r="J179" s="107"/>
      <c r="K179" s="77"/>
      <c r="L179" s="77"/>
      <c r="M179" s="120"/>
    </row>
    <row r="180" spans="1:13" x14ac:dyDescent="0.3">
      <c r="A180" s="109">
        <v>7</v>
      </c>
      <c r="B180" s="110">
        <v>46103</v>
      </c>
      <c r="C180" s="399"/>
      <c r="D180" s="399"/>
      <c r="E180" s="401"/>
      <c r="F180" s="119"/>
      <c r="G180" s="121"/>
      <c r="H180" s="369"/>
      <c r="I180" s="359"/>
      <c r="J180" s="112"/>
      <c r="K180" s="359"/>
      <c r="L180" s="359"/>
      <c r="M180" s="121"/>
    </row>
    <row r="181" spans="1:13" s="86" customFormat="1" x14ac:dyDescent="0.3">
      <c r="A181" s="102">
        <v>1</v>
      </c>
      <c r="B181" s="145">
        <v>46104</v>
      </c>
      <c r="C181" s="169"/>
      <c r="D181" s="169"/>
      <c r="E181" s="169"/>
      <c r="F181" s="117"/>
      <c r="G181" s="129"/>
      <c r="H181" s="365"/>
      <c r="I181" s="178"/>
      <c r="J181" s="100"/>
      <c r="K181" s="178"/>
      <c r="L181" s="178"/>
      <c r="M181" s="129"/>
    </row>
    <row r="182" spans="1:13" s="86" customFormat="1" x14ac:dyDescent="0.3">
      <c r="A182" s="102">
        <v>2</v>
      </c>
      <c r="B182" s="145">
        <v>46105</v>
      </c>
      <c r="C182" s="169">
        <v>0.75</v>
      </c>
      <c r="D182" s="169">
        <v>0.875</v>
      </c>
      <c r="E182" s="169">
        <v>0.125</v>
      </c>
      <c r="F182" s="379" t="s">
        <v>54</v>
      </c>
      <c r="G182" s="379" t="s">
        <v>63</v>
      </c>
      <c r="H182" s="77" t="s">
        <v>61</v>
      </c>
      <c r="I182" s="178"/>
      <c r="J182" s="77" t="s">
        <v>157</v>
      </c>
      <c r="K182" s="178">
        <v>1</v>
      </c>
      <c r="L182" s="178"/>
      <c r="M182" s="129"/>
    </row>
    <row r="183" spans="1:13" s="86" customFormat="1" x14ac:dyDescent="0.3">
      <c r="A183" s="102">
        <v>3</v>
      </c>
      <c r="B183" s="145">
        <v>46106</v>
      </c>
      <c r="C183" s="175"/>
      <c r="D183" s="175"/>
      <c r="E183" s="175"/>
      <c r="F183" s="117"/>
      <c r="G183" s="129"/>
      <c r="H183" s="365"/>
      <c r="I183" s="178"/>
      <c r="J183" s="100"/>
      <c r="K183" s="178"/>
      <c r="L183" s="178"/>
      <c r="M183" s="129"/>
    </row>
    <row r="184" spans="1:13" s="180" customFormat="1" x14ac:dyDescent="0.35">
      <c r="A184" s="176">
        <v>4</v>
      </c>
      <c r="B184" s="181">
        <v>46107</v>
      </c>
      <c r="C184" s="169">
        <v>0.75</v>
      </c>
      <c r="D184" s="169">
        <v>0.875</v>
      </c>
      <c r="E184" s="169">
        <v>0.125</v>
      </c>
      <c r="F184" s="379" t="s">
        <v>54</v>
      </c>
      <c r="G184" s="379" t="s">
        <v>64</v>
      </c>
      <c r="H184" s="377" t="s">
        <v>316</v>
      </c>
      <c r="J184" s="178"/>
      <c r="K184" s="178">
        <v>1</v>
      </c>
      <c r="L184" s="178"/>
      <c r="M184" s="147"/>
    </row>
    <row r="185" spans="1:13" s="86" customFormat="1" x14ac:dyDescent="0.3">
      <c r="A185" s="102">
        <v>5</v>
      </c>
      <c r="B185" s="145">
        <v>46108</v>
      </c>
      <c r="C185" s="175">
        <v>0.66666666666666663</v>
      </c>
      <c r="D185" s="175">
        <v>0.79166666666666663</v>
      </c>
      <c r="E185" s="175">
        <v>0.125</v>
      </c>
      <c r="F185" s="385" t="s">
        <v>124</v>
      </c>
      <c r="G185" s="385" t="s">
        <v>284</v>
      </c>
      <c r="H185" s="89" t="s">
        <v>129</v>
      </c>
      <c r="I185" s="76" t="s">
        <v>316</v>
      </c>
      <c r="J185" s="100"/>
      <c r="K185" s="178">
        <v>1</v>
      </c>
      <c r="L185" s="415">
        <f>SUM(K106:K185)</f>
        <v>35</v>
      </c>
      <c r="M185" s="129"/>
    </row>
    <row r="186" spans="1:13" s="86" customFormat="1" x14ac:dyDescent="0.3">
      <c r="A186" s="102">
        <v>6</v>
      </c>
      <c r="B186" s="145">
        <v>46109</v>
      </c>
      <c r="C186" s="169"/>
      <c r="D186" s="169"/>
      <c r="E186" s="169"/>
      <c r="F186" s="117"/>
      <c r="G186" s="129"/>
      <c r="H186" s="365"/>
      <c r="I186" s="178"/>
      <c r="J186" s="100"/>
      <c r="K186" s="178"/>
      <c r="L186" s="178"/>
      <c r="M186" s="129"/>
    </row>
    <row r="187" spans="1:13" x14ac:dyDescent="0.3">
      <c r="A187" s="109">
        <v>7</v>
      </c>
      <c r="B187" s="110">
        <v>46110</v>
      </c>
      <c r="C187" s="399"/>
      <c r="D187" s="399"/>
      <c r="E187" s="401"/>
      <c r="F187" s="119"/>
      <c r="G187" s="121"/>
      <c r="H187" s="369"/>
      <c r="I187" s="359"/>
      <c r="J187" s="112"/>
      <c r="K187" s="359"/>
      <c r="L187" s="359"/>
      <c r="M187" s="121"/>
    </row>
    <row r="188" spans="1:13" s="86" customFormat="1" x14ac:dyDescent="0.3">
      <c r="A188" s="138">
        <v>1</v>
      </c>
      <c r="B188" s="146">
        <v>46111</v>
      </c>
      <c r="C188" s="363"/>
      <c r="D188" s="363"/>
      <c r="E188" s="363"/>
      <c r="F188" s="162"/>
      <c r="G188" s="140"/>
      <c r="H188" s="363"/>
      <c r="I188" s="363"/>
      <c r="J188" s="140"/>
      <c r="K188" s="403"/>
      <c r="L188" s="403"/>
      <c r="M188" s="189" t="s">
        <v>239</v>
      </c>
    </row>
    <row r="189" spans="1:13" s="86" customFormat="1" x14ac:dyDescent="0.3">
      <c r="A189" s="138">
        <v>2</v>
      </c>
      <c r="B189" s="146">
        <v>46112</v>
      </c>
      <c r="C189" s="363"/>
      <c r="D189" s="363"/>
      <c r="E189" s="363"/>
      <c r="F189" s="162"/>
      <c r="G189" s="140"/>
      <c r="H189" s="363"/>
      <c r="I189" s="363"/>
      <c r="J189" s="140"/>
      <c r="K189" s="403"/>
      <c r="L189" s="403"/>
      <c r="M189" s="189" t="s">
        <v>239</v>
      </c>
    </row>
    <row r="190" spans="1:13" s="86" customFormat="1" x14ac:dyDescent="0.3">
      <c r="A190" s="138">
        <v>3</v>
      </c>
      <c r="B190" s="146">
        <v>46113</v>
      </c>
      <c r="C190" s="363"/>
      <c r="D190" s="363"/>
      <c r="E190" s="363"/>
      <c r="F190" s="162"/>
      <c r="G190" s="140"/>
      <c r="H190" s="363"/>
      <c r="I190" s="363"/>
      <c r="J190" s="140"/>
      <c r="K190" s="403"/>
      <c r="L190" s="403"/>
      <c r="M190" s="189" t="s">
        <v>239</v>
      </c>
    </row>
    <row r="191" spans="1:13" s="86" customFormat="1" x14ac:dyDescent="0.3">
      <c r="A191" s="138">
        <v>4</v>
      </c>
      <c r="B191" s="146">
        <v>46114</v>
      </c>
      <c r="C191" s="363"/>
      <c r="D191" s="363"/>
      <c r="E191" s="363"/>
      <c r="F191" s="162"/>
      <c r="G191" s="140"/>
      <c r="H191" s="363"/>
      <c r="I191" s="363"/>
      <c r="J191" s="140"/>
      <c r="K191" s="403"/>
      <c r="L191" s="403"/>
      <c r="M191" s="189" t="s">
        <v>239</v>
      </c>
    </row>
    <row r="192" spans="1:13" s="86" customFormat="1" x14ac:dyDescent="0.3">
      <c r="A192" s="138">
        <v>5</v>
      </c>
      <c r="B192" s="144">
        <v>46115</v>
      </c>
      <c r="C192" s="363"/>
      <c r="D192" s="363"/>
      <c r="E192" s="363"/>
      <c r="F192" s="162"/>
      <c r="G192" s="140"/>
      <c r="H192" s="363"/>
      <c r="I192" s="363"/>
      <c r="J192" s="140"/>
      <c r="K192" s="403"/>
      <c r="L192" s="403"/>
      <c r="M192" s="189" t="s">
        <v>239</v>
      </c>
    </row>
    <row r="193" spans="1:13" s="86" customFormat="1" x14ac:dyDescent="0.3">
      <c r="A193" s="138">
        <v>6</v>
      </c>
      <c r="B193" s="146">
        <v>46116</v>
      </c>
      <c r="C193" s="363"/>
      <c r="D193" s="363"/>
      <c r="E193" s="363"/>
      <c r="F193" s="162"/>
      <c r="G193" s="140"/>
      <c r="H193" s="363"/>
      <c r="I193" s="363"/>
      <c r="J193" s="140"/>
      <c r="K193" s="403"/>
      <c r="L193" s="403"/>
      <c r="M193" s="189" t="s">
        <v>239</v>
      </c>
    </row>
    <row r="194" spans="1:13" x14ac:dyDescent="0.3">
      <c r="A194" s="109">
        <v>7</v>
      </c>
      <c r="B194" s="110">
        <v>46117</v>
      </c>
      <c r="C194" s="399"/>
      <c r="D194" s="399"/>
      <c r="E194" s="401"/>
      <c r="F194" s="119"/>
      <c r="G194" s="121"/>
      <c r="H194" s="369"/>
      <c r="I194" s="359"/>
      <c r="J194" s="112"/>
      <c r="K194" s="359"/>
      <c r="L194" s="359"/>
      <c r="M194" s="121"/>
    </row>
    <row r="195" spans="1:13" s="86" customFormat="1" x14ac:dyDescent="0.3">
      <c r="A195" s="138">
        <v>1</v>
      </c>
      <c r="B195" s="144">
        <v>46118</v>
      </c>
      <c r="C195" s="403"/>
      <c r="D195" s="403"/>
      <c r="E195" s="363"/>
      <c r="F195" s="143"/>
      <c r="G195" s="141"/>
      <c r="H195" s="372"/>
      <c r="I195" s="362"/>
      <c r="J195" s="142"/>
      <c r="K195" s="362"/>
      <c r="L195" s="362"/>
      <c r="M195" s="141" t="s">
        <v>239</v>
      </c>
    </row>
    <row r="196" spans="1:13" s="86" customFormat="1" x14ac:dyDescent="0.3">
      <c r="A196" s="102">
        <v>2</v>
      </c>
      <c r="B196" s="99">
        <v>46119</v>
      </c>
      <c r="C196" s="169">
        <v>0.75</v>
      </c>
      <c r="D196" s="169">
        <v>0.875</v>
      </c>
      <c r="E196" s="169">
        <v>0.125</v>
      </c>
      <c r="F196" s="379" t="s">
        <v>160</v>
      </c>
      <c r="G196" s="379" t="s">
        <v>108</v>
      </c>
      <c r="H196" s="368" t="s">
        <v>325</v>
      </c>
      <c r="I196" s="77"/>
      <c r="J196" s="77" t="s">
        <v>157</v>
      </c>
      <c r="K196" s="178">
        <v>1</v>
      </c>
      <c r="L196" s="178"/>
      <c r="M196" s="129"/>
    </row>
    <row r="197" spans="1:13" s="86" customFormat="1" x14ac:dyDescent="0.3">
      <c r="A197" s="102">
        <v>3</v>
      </c>
      <c r="B197" s="99">
        <v>46120</v>
      </c>
      <c r="C197" s="175"/>
      <c r="D197" s="175"/>
      <c r="E197" s="175"/>
      <c r="F197" s="108"/>
      <c r="G197" s="120"/>
      <c r="H197" s="368"/>
      <c r="I197" s="77"/>
      <c r="J197" s="107"/>
      <c r="K197" s="178"/>
      <c r="L197" s="178"/>
      <c r="M197" s="129"/>
    </row>
    <row r="198" spans="1:13" s="86" customFormat="1" x14ac:dyDescent="0.3">
      <c r="A198" s="98">
        <v>4</v>
      </c>
      <c r="B198" s="99">
        <v>46121</v>
      </c>
      <c r="C198" s="169">
        <v>0.75</v>
      </c>
      <c r="D198" s="169">
        <v>0.875</v>
      </c>
      <c r="E198" s="169">
        <v>0.125</v>
      </c>
      <c r="F198" s="379" t="s">
        <v>160</v>
      </c>
      <c r="G198" s="379" t="s">
        <v>113</v>
      </c>
      <c r="H198" s="368" t="s">
        <v>325</v>
      </c>
      <c r="I198" s="77"/>
      <c r="J198" s="77" t="s">
        <v>157</v>
      </c>
      <c r="K198" s="178">
        <v>1</v>
      </c>
      <c r="L198" s="178"/>
      <c r="M198" s="129"/>
    </row>
    <row r="199" spans="1:13" s="86" customFormat="1" x14ac:dyDescent="0.3">
      <c r="A199" s="102">
        <v>5</v>
      </c>
      <c r="B199" s="99">
        <v>46122</v>
      </c>
      <c r="C199" s="175">
        <v>0.66666666666666663</v>
      </c>
      <c r="D199" s="175">
        <v>0.79166666666666663</v>
      </c>
      <c r="E199" s="175">
        <v>0.125</v>
      </c>
      <c r="F199" s="379" t="s">
        <v>160</v>
      </c>
      <c r="G199" s="379" t="s">
        <v>376</v>
      </c>
      <c r="H199" s="368" t="s">
        <v>112</v>
      </c>
      <c r="I199" s="77"/>
      <c r="J199" s="107"/>
      <c r="K199" s="178">
        <v>1</v>
      </c>
      <c r="L199" s="178"/>
      <c r="M199" s="129"/>
    </row>
    <row r="200" spans="1:13" s="86" customFormat="1" x14ac:dyDescent="0.3">
      <c r="A200" s="102">
        <v>6</v>
      </c>
      <c r="B200" s="99">
        <v>46123</v>
      </c>
      <c r="C200" s="169"/>
      <c r="D200" s="169"/>
      <c r="E200" s="169"/>
      <c r="F200" s="117"/>
      <c r="G200" s="129"/>
      <c r="H200" s="365"/>
      <c r="I200" s="178"/>
      <c r="J200" s="100"/>
      <c r="K200" s="178"/>
      <c r="L200" s="178"/>
      <c r="M200" s="129"/>
    </row>
    <row r="201" spans="1:13" x14ac:dyDescent="0.3">
      <c r="A201" s="109">
        <v>7</v>
      </c>
      <c r="B201" s="110">
        <v>46124</v>
      </c>
      <c r="C201" s="399"/>
      <c r="D201" s="399"/>
      <c r="E201" s="401"/>
      <c r="F201" s="119"/>
      <c r="G201" s="121"/>
      <c r="H201" s="369"/>
      <c r="I201" s="359"/>
      <c r="J201" s="112"/>
      <c r="K201" s="359"/>
      <c r="L201" s="359"/>
      <c r="M201" s="121"/>
    </row>
    <row r="202" spans="1:13" s="86" customFormat="1" x14ac:dyDescent="0.3">
      <c r="A202" s="98">
        <v>1</v>
      </c>
      <c r="B202" s="99">
        <v>46125</v>
      </c>
      <c r="C202" s="169"/>
      <c r="D202" s="169"/>
      <c r="E202" s="169"/>
      <c r="F202" s="163"/>
      <c r="G202" s="103"/>
      <c r="H202" s="169"/>
      <c r="I202" s="169"/>
      <c r="J202" s="103"/>
      <c r="K202" s="396"/>
      <c r="L202" s="396"/>
      <c r="M202" s="190"/>
    </row>
    <row r="203" spans="1:13" s="86" customFormat="1" x14ac:dyDescent="0.3">
      <c r="A203" s="98">
        <v>2</v>
      </c>
      <c r="B203" s="99">
        <v>46126</v>
      </c>
      <c r="C203" s="169">
        <v>0.75</v>
      </c>
      <c r="D203" s="169">
        <v>0.875</v>
      </c>
      <c r="E203" s="169">
        <v>0.125</v>
      </c>
      <c r="F203" s="379" t="s">
        <v>160</v>
      </c>
      <c r="G203" s="379" t="s">
        <v>114</v>
      </c>
      <c r="H203" s="368" t="s">
        <v>325</v>
      </c>
      <c r="I203" s="77"/>
      <c r="J203" s="77" t="s">
        <v>157</v>
      </c>
      <c r="K203" s="178">
        <v>1</v>
      </c>
      <c r="L203" s="178"/>
      <c r="M203" s="190"/>
    </row>
    <row r="204" spans="1:13" s="86" customFormat="1" x14ac:dyDescent="0.3">
      <c r="A204" s="98">
        <v>3</v>
      </c>
      <c r="B204" s="99">
        <v>46127</v>
      </c>
      <c r="C204" s="175"/>
      <c r="D204" s="175"/>
      <c r="E204" s="175"/>
      <c r="F204" s="379"/>
      <c r="G204" s="379"/>
      <c r="H204" s="77"/>
      <c r="I204" s="368"/>
      <c r="J204" s="103"/>
      <c r="K204" s="178"/>
      <c r="L204" s="178"/>
      <c r="M204" s="190"/>
    </row>
    <row r="205" spans="1:13" s="86" customFormat="1" x14ac:dyDescent="0.3">
      <c r="A205" s="98">
        <v>4</v>
      </c>
      <c r="B205" s="99">
        <v>46128</v>
      </c>
      <c r="C205" s="169">
        <v>0.75</v>
      </c>
      <c r="D205" s="169">
        <v>0.875</v>
      </c>
      <c r="E205" s="169">
        <v>0.125</v>
      </c>
      <c r="F205" s="379" t="s">
        <v>160</v>
      </c>
      <c r="G205" s="379" t="s">
        <v>115</v>
      </c>
      <c r="H205" s="77" t="s">
        <v>325</v>
      </c>
      <c r="I205" s="123"/>
      <c r="J205" s="123" t="s">
        <v>157</v>
      </c>
      <c r="K205" s="178">
        <v>1</v>
      </c>
      <c r="L205" s="178"/>
      <c r="M205" s="190"/>
    </row>
    <row r="206" spans="1:13" s="180" customFormat="1" x14ac:dyDescent="0.35">
      <c r="A206" s="179">
        <v>5</v>
      </c>
      <c r="B206" s="174">
        <v>46129</v>
      </c>
      <c r="C206" s="175">
        <v>0.66666666666666663</v>
      </c>
      <c r="D206" s="175">
        <v>0.79166666666666663</v>
      </c>
      <c r="E206" s="175">
        <v>0.125</v>
      </c>
      <c r="F206" s="379" t="s">
        <v>160</v>
      </c>
      <c r="G206" s="379" t="s">
        <v>116</v>
      </c>
      <c r="H206" s="368" t="s">
        <v>325</v>
      </c>
      <c r="I206" s="123"/>
      <c r="J206" s="123" t="s">
        <v>157</v>
      </c>
      <c r="K206" s="178">
        <v>1</v>
      </c>
      <c r="L206" s="178"/>
      <c r="M206" s="167"/>
    </row>
    <row r="207" spans="1:13" s="86" customFormat="1" x14ac:dyDescent="0.3">
      <c r="A207" s="98">
        <v>6</v>
      </c>
      <c r="B207" s="99">
        <v>46130</v>
      </c>
      <c r="C207" s="169"/>
      <c r="D207" s="169"/>
      <c r="E207" s="169"/>
      <c r="F207" s="163"/>
      <c r="G207" s="103"/>
      <c r="H207" s="169"/>
      <c r="I207" s="169"/>
      <c r="J207" s="103"/>
      <c r="K207" s="396"/>
      <c r="L207" s="396"/>
      <c r="M207" s="190"/>
    </row>
    <row r="208" spans="1:13" x14ac:dyDescent="0.3">
      <c r="A208" s="148">
        <v>7</v>
      </c>
      <c r="B208" s="110">
        <v>46131</v>
      </c>
      <c r="C208" s="399"/>
      <c r="D208" s="399"/>
      <c r="E208" s="401"/>
      <c r="F208" s="119"/>
      <c r="G208" s="121"/>
      <c r="H208" s="369"/>
      <c r="I208" s="359"/>
      <c r="J208" s="112"/>
      <c r="K208" s="359"/>
      <c r="L208" s="359"/>
      <c r="M208" s="121"/>
    </row>
    <row r="209" spans="1:13" s="86" customFormat="1" x14ac:dyDescent="0.3">
      <c r="A209" s="98">
        <v>1</v>
      </c>
      <c r="B209" s="99">
        <v>46132</v>
      </c>
      <c r="C209" s="169"/>
      <c r="D209" s="169"/>
      <c r="E209" s="169"/>
      <c r="F209" s="163"/>
      <c r="G209" s="103"/>
      <c r="H209" s="169"/>
      <c r="I209" s="169"/>
      <c r="J209" s="103"/>
      <c r="K209" s="396"/>
      <c r="L209" s="396"/>
      <c r="M209" s="190"/>
    </row>
    <row r="210" spans="1:13" x14ac:dyDescent="0.3">
      <c r="A210" s="104">
        <v>2</v>
      </c>
      <c r="B210" s="99">
        <v>46133</v>
      </c>
      <c r="C210" s="169">
        <v>0.75</v>
      </c>
      <c r="D210" s="169">
        <v>0.875</v>
      </c>
      <c r="E210" s="169">
        <v>0.125</v>
      </c>
      <c r="F210" s="385" t="s">
        <v>132</v>
      </c>
      <c r="G210" s="385" t="s">
        <v>367</v>
      </c>
      <c r="H210" s="89" t="s">
        <v>129</v>
      </c>
      <c r="I210" s="76" t="s">
        <v>316</v>
      </c>
      <c r="J210" s="123"/>
      <c r="K210" s="123">
        <v>1</v>
      </c>
      <c r="L210" s="123"/>
      <c r="M210" s="128"/>
    </row>
    <row r="211" spans="1:13" x14ac:dyDescent="0.3">
      <c r="A211" s="104">
        <v>3</v>
      </c>
      <c r="B211" s="99">
        <v>46134</v>
      </c>
      <c r="C211" s="175"/>
      <c r="D211" s="175"/>
      <c r="E211" s="175"/>
      <c r="F211" s="108"/>
      <c r="G211" s="120"/>
      <c r="H211" s="368"/>
      <c r="I211" s="123"/>
      <c r="J211" s="123"/>
      <c r="K211" s="123"/>
      <c r="L211" s="123"/>
      <c r="M211" s="128"/>
    </row>
    <row r="212" spans="1:13" x14ac:dyDescent="0.3">
      <c r="A212" s="130">
        <v>4</v>
      </c>
      <c r="B212" s="152">
        <v>46135</v>
      </c>
      <c r="C212" s="361"/>
      <c r="D212" s="361"/>
      <c r="E212" s="361"/>
      <c r="F212" s="133"/>
      <c r="G212" s="417" t="s">
        <v>158</v>
      </c>
      <c r="H212" s="371"/>
      <c r="I212" s="360"/>
      <c r="J212" s="135"/>
      <c r="K212" s="360"/>
      <c r="L212" s="360"/>
      <c r="M212" s="134"/>
    </row>
    <row r="213" spans="1:13" x14ac:dyDescent="0.3">
      <c r="A213" s="104">
        <v>5</v>
      </c>
      <c r="B213" s="99">
        <v>46136</v>
      </c>
      <c r="C213" s="175">
        <v>0.66666666666666663</v>
      </c>
      <c r="D213" s="175">
        <v>0.79166666666666663</v>
      </c>
      <c r="E213" s="175">
        <v>0.125</v>
      </c>
      <c r="F213" s="385" t="s">
        <v>132</v>
      </c>
      <c r="G213" s="385" t="s">
        <v>367</v>
      </c>
      <c r="H213" s="89" t="s">
        <v>129</v>
      </c>
      <c r="I213" s="76" t="s">
        <v>316</v>
      </c>
      <c r="J213" s="123"/>
      <c r="K213" s="123">
        <v>1</v>
      </c>
      <c r="L213" s="123"/>
      <c r="M213" s="128"/>
    </row>
    <row r="214" spans="1:13" x14ac:dyDescent="0.3">
      <c r="A214" s="104">
        <v>6</v>
      </c>
      <c r="B214" s="99">
        <v>46137</v>
      </c>
      <c r="C214" s="175"/>
      <c r="D214" s="175"/>
      <c r="E214" s="175"/>
      <c r="F214" s="164"/>
      <c r="G214" s="128"/>
      <c r="H214" s="123"/>
      <c r="I214" s="123"/>
      <c r="J214" s="123"/>
      <c r="K214" s="123"/>
      <c r="L214" s="123"/>
      <c r="M214" s="128"/>
    </row>
    <row r="215" spans="1:13" x14ac:dyDescent="0.3">
      <c r="A215" s="109">
        <v>7</v>
      </c>
      <c r="B215" s="136">
        <v>46138</v>
      </c>
      <c r="C215" s="399"/>
      <c r="D215" s="399"/>
      <c r="E215" s="401"/>
      <c r="F215" s="119"/>
      <c r="G215" s="121"/>
      <c r="H215" s="369"/>
      <c r="I215" s="359"/>
      <c r="J215" s="112"/>
      <c r="K215" s="359"/>
      <c r="L215" s="359"/>
      <c r="M215" s="121"/>
    </row>
    <row r="216" spans="1:13" s="86" customFormat="1" x14ac:dyDescent="0.3">
      <c r="A216" s="102">
        <v>1</v>
      </c>
      <c r="B216" s="99">
        <v>46139</v>
      </c>
      <c r="C216" s="169"/>
      <c r="D216" s="169"/>
      <c r="E216" s="169"/>
      <c r="F216" s="129"/>
      <c r="G216" s="149"/>
      <c r="H216" s="365"/>
      <c r="I216" s="178"/>
      <c r="J216" s="100"/>
      <c r="K216" s="178"/>
      <c r="L216" s="178"/>
      <c r="M216" s="129"/>
    </row>
    <row r="217" spans="1:13" x14ac:dyDescent="0.3">
      <c r="A217" s="104">
        <v>2</v>
      </c>
      <c r="B217" s="99">
        <v>46140</v>
      </c>
      <c r="C217" s="169">
        <v>0.75</v>
      </c>
      <c r="D217" s="169">
        <v>0.875</v>
      </c>
      <c r="E217" s="169">
        <v>0.125</v>
      </c>
      <c r="F217" s="379" t="s">
        <v>160</v>
      </c>
      <c r="G217" s="379" t="s">
        <v>118</v>
      </c>
      <c r="H217" s="368" t="s">
        <v>119</v>
      </c>
      <c r="I217" s="123"/>
      <c r="J217" s="123" t="s">
        <v>157</v>
      </c>
      <c r="K217" s="77">
        <v>1</v>
      </c>
      <c r="L217" s="77"/>
      <c r="M217" s="172"/>
    </row>
    <row r="218" spans="1:13" s="86" customFormat="1" x14ac:dyDescent="0.3">
      <c r="A218" s="102">
        <v>3</v>
      </c>
      <c r="B218" s="99">
        <v>46141</v>
      </c>
      <c r="C218" s="169"/>
      <c r="D218" s="169"/>
      <c r="E218" s="169"/>
      <c r="F218" s="129"/>
      <c r="G218" s="149"/>
      <c r="H218" s="178"/>
      <c r="I218" s="178"/>
      <c r="J218" s="100"/>
      <c r="K218" s="178"/>
      <c r="L218" s="178"/>
      <c r="M218" s="129"/>
    </row>
    <row r="219" spans="1:13" x14ac:dyDescent="0.3">
      <c r="A219" s="102">
        <v>4</v>
      </c>
      <c r="B219" s="99">
        <v>46142</v>
      </c>
      <c r="C219" s="169">
        <v>0.75</v>
      </c>
      <c r="D219" s="169">
        <v>0.875</v>
      </c>
      <c r="E219" s="169">
        <v>0.125</v>
      </c>
      <c r="F219" s="385" t="s">
        <v>124</v>
      </c>
      <c r="G219" s="385" t="s">
        <v>362</v>
      </c>
      <c r="H219" s="89" t="s">
        <v>129</v>
      </c>
      <c r="I219" s="76" t="s">
        <v>316</v>
      </c>
      <c r="J219" s="176"/>
      <c r="K219" s="179">
        <v>1</v>
      </c>
      <c r="L219" s="179"/>
      <c r="M219" s="191"/>
    </row>
    <row r="220" spans="1:13" x14ac:dyDescent="0.3">
      <c r="A220" s="130">
        <v>5</v>
      </c>
      <c r="B220" s="131">
        <v>46143</v>
      </c>
      <c r="C220" s="361"/>
      <c r="D220" s="361"/>
      <c r="E220" s="361"/>
      <c r="F220" s="134"/>
      <c r="G220" s="151"/>
      <c r="H220" s="360"/>
      <c r="I220" s="360"/>
      <c r="J220" s="135"/>
      <c r="K220" s="360"/>
      <c r="L220" s="360"/>
      <c r="M220" s="134" t="s">
        <v>237</v>
      </c>
    </row>
    <row r="221" spans="1:13" x14ac:dyDescent="0.3">
      <c r="A221" s="130">
        <v>6</v>
      </c>
      <c r="B221" s="152">
        <v>46144</v>
      </c>
      <c r="C221" s="361"/>
      <c r="D221" s="361"/>
      <c r="E221" s="361"/>
      <c r="F221" s="133"/>
      <c r="G221" s="134"/>
      <c r="H221" s="371"/>
      <c r="I221" s="360"/>
      <c r="J221" s="135"/>
      <c r="K221" s="360"/>
      <c r="L221" s="360"/>
      <c r="M221" s="134" t="s">
        <v>240</v>
      </c>
    </row>
    <row r="222" spans="1:13" x14ac:dyDescent="0.3">
      <c r="A222" s="109">
        <v>7</v>
      </c>
      <c r="B222" s="110">
        <v>46145</v>
      </c>
      <c r="C222" s="399"/>
      <c r="D222" s="399"/>
      <c r="E222" s="401"/>
      <c r="F222" s="119"/>
      <c r="G222" s="121"/>
      <c r="H222" s="369"/>
      <c r="I222" s="359"/>
      <c r="J222" s="112"/>
      <c r="K222" s="359"/>
      <c r="L222" s="359"/>
      <c r="M222" s="121"/>
    </row>
    <row r="223" spans="1:13" x14ac:dyDescent="0.3">
      <c r="A223" s="104">
        <v>1</v>
      </c>
      <c r="B223" s="113">
        <v>46146</v>
      </c>
      <c r="C223" s="404"/>
      <c r="D223" s="404"/>
      <c r="E223" s="404"/>
      <c r="F223" s="108"/>
      <c r="G223" s="120"/>
      <c r="H223" s="368"/>
      <c r="I223" s="77"/>
      <c r="J223" s="107"/>
      <c r="K223" s="77"/>
      <c r="L223" s="77"/>
      <c r="M223" s="120"/>
    </row>
    <row r="224" spans="1:13" s="173" customFormat="1" x14ac:dyDescent="0.35">
      <c r="A224" s="122">
        <v>2</v>
      </c>
      <c r="B224" s="177">
        <v>46147</v>
      </c>
      <c r="C224" s="169">
        <v>0.75</v>
      </c>
      <c r="D224" s="169">
        <v>0.875</v>
      </c>
      <c r="E224" s="169">
        <v>0.125</v>
      </c>
      <c r="F224" s="379" t="s">
        <v>160</v>
      </c>
      <c r="G224" s="379" t="s">
        <v>287</v>
      </c>
      <c r="H224" s="368" t="s">
        <v>119</v>
      </c>
      <c r="I224" s="123"/>
      <c r="J224" s="123" t="s">
        <v>157</v>
      </c>
      <c r="K224" s="77">
        <v>1</v>
      </c>
      <c r="L224" s="77"/>
      <c r="M224" s="172"/>
    </row>
    <row r="225" spans="1:13" x14ac:dyDescent="0.3">
      <c r="A225" s="104">
        <v>3</v>
      </c>
      <c r="B225" s="113">
        <v>46148</v>
      </c>
      <c r="C225" s="175"/>
      <c r="D225" s="175"/>
      <c r="E225" s="175"/>
      <c r="F225" s="379"/>
      <c r="G225" s="379"/>
      <c r="H225" s="77"/>
      <c r="I225" s="77"/>
      <c r="J225" s="107"/>
      <c r="K225" s="77"/>
      <c r="L225" s="77"/>
      <c r="M225" s="196" t="s">
        <v>161</v>
      </c>
    </row>
    <row r="226" spans="1:13" x14ac:dyDescent="0.3">
      <c r="A226" s="104">
        <v>4</v>
      </c>
      <c r="B226" s="113">
        <v>46149</v>
      </c>
      <c r="C226" s="169">
        <v>0.75</v>
      </c>
      <c r="D226" s="169">
        <v>0.875</v>
      </c>
      <c r="E226" s="169">
        <v>0.125</v>
      </c>
      <c r="F226" s="379" t="s">
        <v>160</v>
      </c>
      <c r="G226" s="379" t="s">
        <v>288</v>
      </c>
      <c r="H226" s="368" t="s">
        <v>119</v>
      </c>
      <c r="I226" s="123"/>
      <c r="J226" s="123" t="s">
        <v>157</v>
      </c>
      <c r="K226" s="77">
        <v>1</v>
      </c>
      <c r="L226" s="77"/>
      <c r="M226" s="196" t="s">
        <v>161</v>
      </c>
    </row>
    <row r="227" spans="1:13" x14ac:dyDescent="0.3">
      <c r="A227" s="104">
        <v>5</v>
      </c>
      <c r="B227" s="113">
        <v>46150</v>
      </c>
      <c r="C227" s="175">
        <v>0.66666666666666663</v>
      </c>
      <c r="D227" s="175">
        <v>0.79166666666666663</v>
      </c>
      <c r="E227" s="175">
        <v>0.125</v>
      </c>
      <c r="F227" s="379" t="s">
        <v>160</v>
      </c>
      <c r="G227" s="379" t="s">
        <v>121</v>
      </c>
      <c r="H227" s="368" t="s">
        <v>119</v>
      </c>
      <c r="I227" s="77"/>
      <c r="J227" s="77" t="s">
        <v>157</v>
      </c>
      <c r="K227" s="77">
        <v>1</v>
      </c>
      <c r="L227" s="77"/>
      <c r="M227" s="196" t="s">
        <v>161</v>
      </c>
    </row>
    <row r="228" spans="1:13" x14ac:dyDescent="0.3">
      <c r="A228" s="104">
        <v>6</v>
      </c>
      <c r="B228" s="113">
        <v>46151</v>
      </c>
      <c r="C228" s="175"/>
      <c r="D228" s="175"/>
      <c r="E228" s="175"/>
      <c r="F228" s="108"/>
      <c r="G228" s="120"/>
      <c r="H228" s="368"/>
      <c r="I228" s="77"/>
      <c r="J228" s="107"/>
      <c r="K228" s="77"/>
      <c r="L228" s="77"/>
      <c r="M228" s="120"/>
    </row>
    <row r="229" spans="1:13" x14ac:dyDescent="0.3">
      <c r="A229" s="109">
        <v>7</v>
      </c>
      <c r="B229" s="110">
        <v>46152</v>
      </c>
      <c r="C229" s="399"/>
      <c r="D229" s="399"/>
      <c r="E229" s="401"/>
      <c r="F229" s="119"/>
      <c r="G229" s="121"/>
      <c r="H229" s="369"/>
      <c r="I229" s="359"/>
      <c r="J229" s="112"/>
      <c r="K229" s="359"/>
      <c r="L229" s="359"/>
      <c r="M229" s="121"/>
    </row>
    <row r="230" spans="1:13" x14ac:dyDescent="0.3">
      <c r="A230" s="104">
        <v>1</v>
      </c>
      <c r="B230" s="113">
        <v>46153</v>
      </c>
      <c r="C230" s="175"/>
      <c r="D230" s="175"/>
      <c r="E230" s="175"/>
      <c r="F230" s="120"/>
      <c r="G230" s="120"/>
      <c r="H230" s="368"/>
      <c r="I230" s="77"/>
      <c r="J230" s="107"/>
      <c r="K230" s="77"/>
      <c r="L230" s="77"/>
      <c r="M230" s="120"/>
    </row>
    <row r="231" spans="1:13" x14ac:dyDescent="0.3">
      <c r="A231" s="104">
        <v>2</v>
      </c>
      <c r="B231" s="113">
        <v>46154</v>
      </c>
      <c r="C231" s="169">
        <v>0.75</v>
      </c>
      <c r="D231" s="169">
        <v>0.875</v>
      </c>
      <c r="E231" s="169">
        <v>0.125</v>
      </c>
      <c r="F231" s="379" t="s">
        <v>160</v>
      </c>
      <c r="G231" s="379" t="s">
        <v>122</v>
      </c>
      <c r="H231" s="368" t="s">
        <v>119</v>
      </c>
      <c r="I231" s="77"/>
      <c r="J231" s="77" t="s">
        <v>157</v>
      </c>
      <c r="K231" s="77">
        <v>1</v>
      </c>
      <c r="L231" s="77"/>
      <c r="M231" s="172"/>
    </row>
    <row r="232" spans="1:13" x14ac:dyDescent="0.3">
      <c r="A232" s="104">
        <v>3</v>
      </c>
      <c r="B232" s="113">
        <v>46155</v>
      </c>
      <c r="C232" s="175"/>
      <c r="D232" s="175"/>
      <c r="E232" s="175"/>
      <c r="F232" s="108"/>
      <c r="G232" s="120"/>
      <c r="H232" s="368"/>
      <c r="I232" s="77"/>
      <c r="J232" s="107"/>
      <c r="K232" s="77"/>
      <c r="L232" s="77"/>
      <c r="M232" s="120"/>
    </row>
    <row r="233" spans="1:13" x14ac:dyDescent="0.3">
      <c r="A233" s="104">
        <v>4</v>
      </c>
      <c r="B233" s="113">
        <v>46156</v>
      </c>
      <c r="C233" s="169">
        <v>0.75</v>
      </c>
      <c r="D233" s="169">
        <v>0.875</v>
      </c>
      <c r="E233" s="169">
        <v>0.125</v>
      </c>
      <c r="F233" s="379" t="s">
        <v>160</v>
      </c>
      <c r="G233" s="379" t="s">
        <v>123</v>
      </c>
      <c r="H233" s="368" t="s">
        <v>119</v>
      </c>
      <c r="I233" s="77"/>
      <c r="J233" s="77" t="s">
        <v>157</v>
      </c>
      <c r="K233" s="77">
        <v>1</v>
      </c>
      <c r="L233" s="77"/>
      <c r="M233" s="172"/>
    </row>
    <row r="234" spans="1:13" x14ac:dyDescent="0.3">
      <c r="A234" s="104">
        <v>5</v>
      </c>
      <c r="B234" s="113">
        <v>46157</v>
      </c>
      <c r="C234" s="175">
        <v>0.66666666666666663</v>
      </c>
      <c r="D234" s="175">
        <v>0.79166666666666663</v>
      </c>
      <c r="E234" s="175">
        <v>0.125</v>
      </c>
      <c r="F234" s="379" t="s">
        <v>92</v>
      </c>
      <c r="G234" s="379" t="s">
        <v>352</v>
      </c>
      <c r="H234" s="368" t="s">
        <v>101</v>
      </c>
      <c r="I234" s="77" t="s">
        <v>102</v>
      </c>
      <c r="K234" s="77">
        <v>1</v>
      </c>
      <c r="L234" s="77"/>
      <c r="M234" s="172"/>
    </row>
    <row r="235" spans="1:13" x14ac:dyDescent="0.3">
      <c r="A235" s="104">
        <v>6</v>
      </c>
      <c r="B235" s="113">
        <v>46158</v>
      </c>
      <c r="C235" s="175"/>
      <c r="D235" s="175"/>
      <c r="E235" s="175"/>
      <c r="F235" s="175"/>
      <c r="G235" s="175"/>
      <c r="H235" s="175"/>
      <c r="I235" s="175"/>
      <c r="J235" s="175"/>
      <c r="K235" s="175"/>
      <c r="L235" s="77"/>
      <c r="M235" s="120"/>
    </row>
    <row r="236" spans="1:13" x14ac:dyDescent="0.3">
      <c r="A236" s="109">
        <v>7</v>
      </c>
      <c r="B236" s="110">
        <v>46190</v>
      </c>
      <c r="C236" s="399"/>
      <c r="D236" s="399"/>
      <c r="E236" s="401"/>
      <c r="F236" s="119"/>
      <c r="G236" s="121"/>
      <c r="H236" s="369"/>
      <c r="I236" s="359"/>
      <c r="J236" s="112"/>
      <c r="K236" s="359"/>
      <c r="L236" s="359"/>
      <c r="M236" s="121"/>
    </row>
    <row r="237" spans="1:13" x14ac:dyDescent="0.3">
      <c r="A237" s="102">
        <v>1</v>
      </c>
      <c r="B237" s="99">
        <v>46160</v>
      </c>
      <c r="C237" s="169"/>
      <c r="D237" s="169"/>
      <c r="E237" s="169"/>
      <c r="F237" s="169"/>
      <c r="G237" s="169"/>
      <c r="H237" s="169"/>
      <c r="I237" s="178"/>
      <c r="J237" s="100"/>
      <c r="K237" s="178"/>
      <c r="L237" s="178"/>
      <c r="M237" s="129"/>
    </row>
    <row r="238" spans="1:13" x14ac:dyDescent="0.3">
      <c r="A238" s="104">
        <v>2</v>
      </c>
      <c r="B238" s="99">
        <v>46161</v>
      </c>
      <c r="C238" s="169">
        <v>0.75</v>
      </c>
      <c r="D238" s="169">
        <v>0.875</v>
      </c>
      <c r="E238" s="169">
        <v>0.125</v>
      </c>
      <c r="F238" s="379" t="s">
        <v>92</v>
      </c>
      <c r="G238" s="379" t="s">
        <v>265</v>
      </c>
      <c r="H238" s="77" t="s">
        <v>94</v>
      </c>
      <c r="I238" s="77"/>
      <c r="J238" s="77"/>
      <c r="K238" s="77">
        <v>1</v>
      </c>
      <c r="L238" s="77"/>
      <c r="M238" s="172"/>
    </row>
    <row r="239" spans="1:13" x14ac:dyDescent="0.3">
      <c r="A239" s="104">
        <v>3</v>
      </c>
      <c r="B239" s="99">
        <v>46162</v>
      </c>
      <c r="C239" s="175"/>
      <c r="D239" s="175"/>
      <c r="E239" s="175"/>
      <c r="F239" s="379"/>
      <c r="G239" s="379"/>
      <c r="H239" s="77"/>
      <c r="I239" s="77"/>
      <c r="J239" s="107"/>
      <c r="K239" s="77"/>
      <c r="L239" s="77"/>
      <c r="M239" s="120"/>
    </row>
    <row r="240" spans="1:13" x14ac:dyDescent="0.3">
      <c r="A240" s="104">
        <v>4</v>
      </c>
      <c r="B240" s="99">
        <v>46163</v>
      </c>
      <c r="C240" s="169">
        <v>0.75</v>
      </c>
      <c r="D240" s="169">
        <v>0.875</v>
      </c>
      <c r="E240" s="169">
        <v>0.125</v>
      </c>
      <c r="F240" s="379" t="s">
        <v>92</v>
      </c>
      <c r="G240" s="379" t="s">
        <v>97</v>
      </c>
      <c r="H240" s="77" t="s">
        <v>94</v>
      </c>
      <c r="I240" s="77"/>
      <c r="J240" s="107"/>
      <c r="K240" s="77">
        <v>1</v>
      </c>
      <c r="L240" s="77"/>
      <c r="M240" s="120"/>
    </row>
    <row r="241" spans="1:13" x14ac:dyDescent="0.3">
      <c r="A241" s="104">
        <v>5</v>
      </c>
      <c r="B241" s="99">
        <v>46164</v>
      </c>
      <c r="C241" s="175">
        <v>0.66666666666666663</v>
      </c>
      <c r="D241" s="175">
        <v>0.79166666666666663</v>
      </c>
      <c r="E241" s="175">
        <v>0.125</v>
      </c>
      <c r="F241" s="379" t="s">
        <v>92</v>
      </c>
      <c r="G241" s="379" t="s">
        <v>98</v>
      </c>
      <c r="H241" s="77" t="s">
        <v>94</v>
      </c>
      <c r="I241" s="368"/>
      <c r="K241" s="77">
        <v>1</v>
      </c>
      <c r="L241" s="77"/>
      <c r="M241" s="120"/>
    </row>
    <row r="242" spans="1:13" x14ac:dyDescent="0.3">
      <c r="A242" s="104">
        <v>6</v>
      </c>
      <c r="B242" s="99">
        <v>46165</v>
      </c>
      <c r="C242" s="175"/>
      <c r="D242" s="175"/>
      <c r="E242" s="175"/>
      <c r="F242" s="108"/>
      <c r="G242" s="120"/>
      <c r="H242" s="368"/>
      <c r="I242" s="77"/>
      <c r="J242" s="107"/>
      <c r="K242" s="77"/>
      <c r="L242" s="77"/>
      <c r="M242" s="120"/>
    </row>
    <row r="243" spans="1:13" x14ac:dyDescent="0.3">
      <c r="A243" s="109">
        <v>7</v>
      </c>
      <c r="B243" s="110">
        <v>46166</v>
      </c>
      <c r="C243" s="399"/>
      <c r="D243" s="399"/>
      <c r="E243" s="401"/>
      <c r="F243" s="119"/>
      <c r="G243" s="121"/>
      <c r="H243" s="369"/>
      <c r="I243" s="359"/>
      <c r="J243" s="112"/>
      <c r="K243" s="359"/>
      <c r="L243" s="359"/>
      <c r="M243" s="121"/>
    </row>
    <row r="244" spans="1:13" s="86" customFormat="1" x14ac:dyDescent="0.3">
      <c r="A244" s="130">
        <v>1</v>
      </c>
      <c r="B244" s="131">
        <v>46167</v>
      </c>
      <c r="C244" s="361"/>
      <c r="D244" s="361"/>
      <c r="E244" s="361"/>
      <c r="F244" s="134"/>
      <c r="G244" s="134"/>
      <c r="H244" s="371"/>
      <c r="I244" s="360"/>
      <c r="J244" s="135"/>
      <c r="K244" s="360"/>
      <c r="L244" s="360"/>
      <c r="M244" s="134" t="s">
        <v>238</v>
      </c>
    </row>
    <row r="245" spans="1:13" x14ac:dyDescent="0.3">
      <c r="A245" s="104">
        <v>2</v>
      </c>
      <c r="B245" s="99">
        <v>46168</v>
      </c>
      <c r="C245" s="169">
        <v>0.75</v>
      </c>
      <c r="D245" s="169">
        <v>0.875</v>
      </c>
      <c r="E245" s="169">
        <v>0.125</v>
      </c>
      <c r="F245" s="379" t="s">
        <v>92</v>
      </c>
      <c r="G245" s="379" t="s">
        <v>99</v>
      </c>
      <c r="H245" s="77" t="s">
        <v>94</v>
      </c>
      <c r="I245" s="77"/>
      <c r="J245" s="77"/>
      <c r="K245" s="123">
        <v>1</v>
      </c>
      <c r="L245" s="123"/>
      <c r="M245" s="128"/>
    </row>
    <row r="246" spans="1:13" x14ac:dyDescent="0.3">
      <c r="A246" s="104">
        <v>3</v>
      </c>
      <c r="B246" s="99">
        <v>46169</v>
      </c>
      <c r="C246" s="175"/>
      <c r="D246" s="175"/>
      <c r="E246" s="175"/>
      <c r="F246" s="379"/>
      <c r="G246" s="379"/>
      <c r="H246" s="77"/>
      <c r="I246" s="123"/>
      <c r="J246" s="123"/>
      <c r="K246" s="123"/>
      <c r="L246" s="123"/>
      <c r="M246" s="128"/>
    </row>
    <row r="247" spans="1:13" x14ac:dyDescent="0.3">
      <c r="A247" s="104">
        <v>4</v>
      </c>
      <c r="B247" s="99">
        <v>46170</v>
      </c>
      <c r="C247" s="169">
        <v>0.75</v>
      </c>
      <c r="D247" s="169">
        <v>0.875</v>
      </c>
      <c r="E247" s="169">
        <v>0.125</v>
      </c>
      <c r="F247" s="379" t="s">
        <v>92</v>
      </c>
      <c r="G247" s="379" t="s">
        <v>104</v>
      </c>
      <c r="H247" s="77" t="s">
        <v>94</v>
      </c>
      <c r="I247" s="123"/>
      <c r="J247" s="123"/>
      <c r="K247" s="123">
        <v>1</v>
      </c>
      <c r="L247" s="123"/>
      <c r="M247" s="128"/>
    </row>
    <row r="248" spans="1:13" x14ac:dyDescent="0.3">
      <c r="A248" s="104">
        <v>5</v>
      </c>
      <c r="B248" s="99">
        <v>46171</v>
      </c>
      <c r="C248" s="175">
        <v>0.66666666666666663</v>
      </c>
      <c r="D248" s="175">
        <v>0.79166666666666663</v>
      </c>
      <c r="E248" s="175">
        <v>0.125</v>
      </c>
      <c r="F248" s="379" t="s">
        <v>92</v>
      </c>
      <c r="G248" s="379" t="s">
        <v>282</v>
      </c>
      <c r="H248" s="77" t="s">
        <v>94</v>
      </c>
      <c r="I248" s="123"/>
      <c r="J248" s="123"/>
      <c r="K248" s="123">
        <v>1</v>
      </c>
      <c r="L248" s="123"/>
      <c r="M248" s="128"/>
    </row>
    <row r="249" spans="1:13" x14ac:dyDescent="0.3">
      <c r="A249" s="104">
        <v>6</v>
      </c>
      <c r="B249" s="99">
        <v>46172</v>
      </c>
      <c r="C249" s="175"/>
      <c r="D249" s="175"/>
      <c r="E249" s="175"/>
      <c r="F249" s="108"/>
      <c r="G249" s="120"/>
      <c r="H249" s="368"/>
      <c r="I249" s="77"/>
      <c r="J249" s="107"/>
      <c r="K249" s="77"/>
      <c r="L249" s="77"/>
      <c r="M249" s="120"/>
    </row>
    <row r="250" spans="1:13" x14ac:dyDescent="0.3">
      <c r="A250" s="109">
        <v>7</v>
      </c>
      <c r="B250" s="110">
        <v>46173</v>
      </c>
      <c r="C250" s="399"/>
      <c r="D250" s="399"/>
      <c r="E250" s="401"/>
      <c r="F250" s="119"/>
      <c r="G250" s="121"/>
      <c r="H250" s="369"/>
      <c r="I250" s="359"/>
      <c r="J250" s="112"/>
      <c r="K250" s="359"/>
      <c r="L250" s="359"/>
      <c r="M250" s="121"/>
    </row>
    <row r="251" spans="1:13" s="86" customFormat="1" x14ac:dyDescent="0.3">
      <c r="A251" s="102">
        <v>1</v>
      </c>
      <c r="B251" s="145">
        <v>46174</v>
      </c>
      <c r="C251" s="396"/>
      <c r="D251" s="396"/>
      <c r="E251" s="169"/>
      <c r="F251" s="159"/>
      <c r="G251" s="129"/>
      <c r="H251" s="365"/>
      <c r="I251" s="178"/>
      <c r="J251" s="100"/>
      <c r="K251" s="178"/>
      <c r="L251" s="178"/>
      <c r="M251" s="129"/>
    </row>
    <row r="252" spans="1:13" x14ac:dyDescent="0.3">
      <c r="A252" s="104">
        <v>2</v>
      </c>
      <c r="B252" s="145">
        <v>46175</v>
      </c>
      <c r="C252" s="169">
        <v>0.75</v>
      </c>
      <c r="D252" s="169">
        <v>0.875</v>
      </c>
      <c r="E252" s="169">
        <v>0.125</v>
      </c>
      <c r="F252" s="379" t="s">
        <v>92</v>
      </c>
      <c r="G252" s="379" t="s">
        <v>353</v>
      </c>
      <c r="H252" s="368" t="s">
        <v>101</v>
      </c>
      <c r="I252" s="77" t="s">
        <v>102</v>
      </c>
      <c r="K252" s="77">
        <v>1</v>
      </c>
      <c r="L252" s="77"/>
      <c r="M252" s="120"/>
    </row>
    <row r="253" spans="1:13" x14ac:dyDescent="0.3">
      <c r="A253" s="104">
        <v>3</v>
      </c>
      <c r="B253" s="145">
        <v>46176</v>
      </c>
      <c r="C253" s="175"/>
      <c r="D253" s="175"/>
      <c r="E253" s="175"/>
      <c r="F253" s="379"/>
      <c r="G253" s="379"/>
      <c r="H253" s="368"/>
      <c r="I253" s="77"/>
      <c r="J253" s="107"/>
      <c r="K253" s="77"/>
      <c r="L253" s="77"/>
      <c r="M253" s="120"/>
    </row>
    <row r="254" spans="1:13" x14ac:dyDescent="0.3">
      <c r="A254" s="104">
        <v>4</v>
      </c>
      <c r="B254" s="145">
        <v>46177</v>
      </c>
      <c r="C254" s="169">
        <v>0.75</v>
      </c>
      <c r="D254" s="169">
        <v>0.875</v>
      </c>
      <c r="E254" s="169">
        <v>0.125</v>
      </c>
      <c r="F254" s="379" t="s">
        <v>132</v>
      </c>
      <c r="G254" s="379" t="s">
        <v>290</v>
      </c>
      <c r="H254" s="368" t="s">
        <v>331</v>
      </c>
      <c r="I254" s="77" t="s">
        <v>316</v>
      </c>
      <c r="J254" s="77"/>
      <c r="K254" s="77">
        <v>1</v>
      </c>
      <c r="L254" s="77"/>
      <c r="M254" s="120"/>
    </row>
    <row r="255" spans="1:13" x14ac:dyDescent="0.3">
      <c r="A255" s="104">
        <v>5</v>
      </c>
      <c r="B255" s="145">
        <v>46178</v>
      </c>
      <c r="C255" s="175">
        <v>0.66666666666666663</v>
      </c>
      <c r="D255" s="175">
        <v>0.79166666666666663</v>
      </c>
      <c r="E255" s="175">
        <v>0.125</v>
      </c>
      <c r="F255" s="385" t="s">
        <v>124</v>
      </c>
      <c r="G255" s="385" t="s">
        <v>361</v>
      </c>
      <c r="H255" s="89" t="s">
        <v>129</v>
      </c>
      <c r="I255" s="76" t="s">
        <v>316</v>
      </c>
      <c r="J255" s="77" t="s">
        <v>157</v>
      </c>
      <c r="K255" s="77">
        <v>1</v>
      </c>
      <c r="L255" s="77"/>
      <c r="M255" s="120"/>
    </row>
    <row r="256" spans="1:13" x14ac:dyDescent="0.3">
      <c r="A256" s="104">
        <v>6</v>
      </c>
      <c r="B256" s="145">
        <v>46179</v>
      </c>
      <c r="C256" s="175"/>
      <c r="D256" s="175"/>
      <c r="E256" s="175"/>
      <c r="F256" s="175"/>
      <c r="G256" s="175"/>
      <c r="H256" s="175"/>
      <c r="I256" s="175"/>
      <c r="J256" s="102"/>
      <c r="K256" s="77"/>
      <c r="L256" s="77"/>
      <c r="M256" s="120"/>
    </row>
    <row r="257" spans="1:13" x14ac:dyDescent="0.3">
      <c r="A257" s="109">
        <v>7</v>
      </c>
      <c r="B257" s="110">
        <v>46180</v>
      </c>
      <c r="C257" s="399"/>
      <c r="D257" s="399"/>
      <c r="E257" s="401"/>
      <c r="F257" s="119"/>
      <c r="G257" s="121"/>
      <c r="H257" s="369"/>
      <c r="I257" s="359"/>
      <c r="J257" s="112"/>
      <c r="K257" s="359"/>
      <c r="L257" s="359"/>
      <c r="M257" s="121"/>
    </row>
    <row r="258" spans="1:13" x14ac:dyDescent="0.3">
      <c r="A258" s="102">
        <v>1</v>
      </c>
      <c r="B258" s="99">
        <v>46181</v>
      </c>
      <c r="C258" s="176"/>
      <c r="D258" s="176"/>
      <c r="E258" s="176"/>
      <c r="F258" s="165"/>
      <c r="G258" s="102"/>
      <c r="H258" s="176"/>
      <c r="I258" s="176"/>
      <c r="J258" s="102"/>
      <c r="K258" s="179"/>
      <c r="L258" s="179"/>
      <c r="M258" s="192"/>
    </row>
    <row r="259" spans="1:13" x14ac:dyDescent="0.3">
      <c r="A259" s="104">
        <v>2</v>
      </c>
      <c r="B259" s="99">
        <v>46182</v>
      </c>
      <c r="C259" s="169">
        <v>0.75</v>
      </c>
      <c r="D259" s="169">
        <v>0.875</v>
      </c>
      <c r="E259" s="169">
        <v>0.125</v>
      </c>
      <c r="F259" s="379" t="s">
        <v>132</v>
      </c>
      <c r="G259" s="379" t="s">
        <v>291</v>
      </c>
      <c r="H259" s="368" t="s">
        <v>331</v>
      </c>
      <c r="I259" s="77" t="s">
        <v>316</v>
      </c>
      <c r="J259" s="77" t="s">
        <v>157</v>
      </c>
      <c r="K259" s="77">
        <v>1</v>
      </c>
      <c r="L259" s="77"/>
      <c r="M259" s="120"/>
    </row>
    <row r="260" spans="1:13" x14ac:dyDescent="0.3">
      <c r="A260" s="104">
        <v>3</v>
      </c>
      <c r="B260" s="99">
        <v>46183</v>
      </c>
      <c r="C260" s="175"/>
      <c r="D260" s="175"/>
      <c r="E260" s="175"/>
      <c r="F260" s="108"/>
      <c r="G260" s="120"/>
      <c r="H260" s="368"/>
      <c r="I260" s="77"/>
      <c r="J260" s="107"/>
      <c r="K260" s="77"/>
      <c r="L260" s="77"/>
      <c r="M260" s="120"/>
    </row>
    <row r="261" spans="1:13" x14ac:dyDescent="0.3">
      <c r="A261" s="104">
        <v>4</v>
      </c>
      <c r="B261" s="99">
        <v>46184</v>
      </c>
      <c r="C261" s="169">
        <v>0.75</v>
      </c>
      <c r="D261" s="169">
        <v>0.875</v>
      </c>
      <c r="E261" s="169">
        <v>0.125</v>
      </c>
      <c r="F261" s="379" t="s">
        <v>132</v>
      </c>
      <c r="G261" s="379" t="s">
        <v>292</v>
      </c>
      <c r="H261" s="368" t="s">
        <v>331</v>
      </c>
      <c r="I261" s="77" t="s">
        <v>316</v>
      </c>
      <c r="J261" s="77" t="s">
        <v>157</v>
      </c>
      <c r="K261" s="77">
        <v>1</v>
      </c>
      <c r="L261" s="77"/>
      <c r="M261" s="120"/>
    </row>
    <row r="262" spans="1:13" x14ac:dyDescent="0.3">
      <c r="A262" s="104">
        <v>5</v>
      </c>
      <c r="B262" s="99">
        <v>46185</v>
      </c>
      <c r="C262" s="175">
        <v>0.66666666666666663</v>
      </c>
      <c r="D262" s="175">
        <v>0.79166666666666663</v>
      </c>
      <c r="E262" s="175">
        <v>0.125</v>
      </c>
      <c r="F262" s="379" t="s">
        <v>132</v>
      </c>
      <c r="G262" s="379" t="s">
        <v>293</v>
      </c>
      <c r="H262" s="368" t="s">
        <v>331</v>
      </c>
      <c r="I262" s="77" t="s">
        <v>316</v>
      </c>
      <c r="J262" s="77" t="s">
        <v>157</v>
      </c>
      <c r="K262" s="77">
        <v>1</v>
      </c>
      <c r="L262" s="77"/>
      <c r="M262" s="120"/>
    </row>
    <row r="263" spans="1:13" x14ac:dyDescent="0.3">
      <c r="A263" s="104">
        <v>6</v>
      </c>
      <c r="B263" s="99">
        <v>46186</v>
      </c>
      <c r="C263" s="175"/>
      <c r="D263" s="175"/>
      <c r="E263" s="175"/>
      <c r="F263" s="108"/>
      <c r="G263" s="120"/>
      <c r="H263" s="368"/>
      <c r="I263" s="77"/>
      <c r="J263" s="107"/>
      <c r="K263" s="77"/>
      <c r="L263" s="77"/>
      <c r="M263" s="120"/>
    </row>
    <row r="264" spans="1:13" x14ac:dyDescent="0.3">
      <c r="A264" s="109">
        <v>7</v>
      </c>
      <c r="B264" s="110">
        <v>45822</v>
      </c>
      <c r="C264" s="399"/>
      <c r="D264" s="399"/>
      <c r="E264" s="401"/>
      <c r="F264" s="119"/>
      <c r="G264" s="121"/>
      <c r="H264" s="369"/>
      <c r="I264" s="359"/>
      <c r="J264" s="112"/>
      <c r="K264" s="359"/>
      <c r="L264" s="359"/>
      <c r="M264" s="121"/>
    </row>
    <row r="265" spans="1:13" x14ac:dyDescent="0.3">
      <c r="A265" s="104">
        <v>1</v>
      </c>
      <c r="B265" s="113">
        <v>46188</v>
      </c>
      <c r="C265" s="175"/>
      <c r="D265" s="175"/>
      <c r="E265" s="175"/>
      <c r="F265" s="108"/>
      <c r="G265" s="120"/>
      <c r="H265" s="368"/>
      <c r="I265" s="77"/>
      <c r="J265" s="107"/>
      <c r="K265" s="77"/>
      <c r="L265" s="77"/>
      <c r="M265" s="120"/>
    </row>
    <row r="266" spans="1:13" s="173" customFormat="1" x14ac:dyDescent="0.3">
      <c r="A266" s="392">
        <v>2</v>
      </c>
      <c r="B266" s="393">
        <v>46189</v>
      </c>
      <c r="C266" s="361"/>
      <c r="D266" s="361"/>
      <c r="E266" s="361"/>
      <c r="F266" s="394"/>
      <c r="G266" s="391" t="s">
        <v>240</v>
      </c>
      <c r="H266" s="371"/>
      <c r="I266" s="360"/>
      <c r="J266" s="360"/>
      <c r="K266" s="360"/>
      <c r="L266" s="360"/>
      <c r="M266" s="186"/>
    </row>
    <row r="267" spans="1:13" x14ac:dyDescent="0.3">
      <c r="A267" s="104">
        <v>3</v>
      </c>
      <c r="B267" s="113">
        <v>46190</v>
      </c>
      <c r="C267" s="175"/>
      <c r="D267" s="175"/>
      <c r="E267" s="175"/>
      <c r="F267" s="108"/>
      <c r="G267" s="120"/>
      <c r="H267" s="368"/>
      <c r="I267" s="77"/>
      <c r="J267" s="107"/>
      <c r="K267" s="77"/>
      <c r="L267" s="77"/>
      <c r="M267" s="120"/>
    </row>
    <row r="268" spans="1:13" s="173" customFormat="1" x14ac:dyDescent="0.3">
      <c r="A268" s="392">
        <v>2</v>
      </c>
      <c r="B268" s="113">
        <v>46191</v>
      </c>
      <c r="C268" s="361"/>
      <c r="D268" s="361"/>
      <c r="E268" s="361"/>
      <c r="F268" s="394"/>
      <c r="G268" s="391" t="s">
        <v>240</v>
      </c>
      <c r="H268" s="371"/>
      <c r="I268" s="360"/>
      <c r="J268" s="360"/>
      <c r="K268" s="360"/>
      <c r="L268" s="360"/>
      <c r="M268" s="186"/>
    </row>
    <row r="269" spans="1:13" s="173" customFormat="1" x14ac:dyDescent="0.3">
      <c r="A269" s="392">
        <v>5</v>
      </c>
      <c r="B269" s="113">
        <v>46192</v>
      </c>
      <c r="C269" s="361"/>
      <c r="D269" s="361"/>
      <c r="E269" s="361"/>
      <c r="F269" s="394"/>
      <c r="G269" s="391" t="s">
        <v>240</v>
      </c>
      <c r="H269" s="371"/>
      <c r="I269" s="360"/>
      <c r="J269" s="360"/>
      <c r="K269" s="360"/>
      <c r="L269" s="360"/>
      <c r="M269" s="186"/>
    </row>
    <row r="270" spans="1:13" x14ac:dyDescent="0.3">
      <c r="A270" s="102">
        <v>6</v>
      </c>
      <c r="B270" s="113">
        <v>46193</v>
      </c>
      <c r="C270" s="169"/>
      <c r="D270" s="169"/>
      <c r="E270" s="169"/>
      <c r="F270" s="117"/>
      <c r="G270" s="129"/>
      <c r="H270" s="365"/>
      <c r="I270" s="178"/>
      <c r="J270" s="100"/>
      <c r="K270" s="178"/>
      <c r="L270" s="178"/>
      <c r="M270" s="129"/>
    </row>
    <row r="271" spans="1:13" x14ac:dyDescent="0.3">
      <c r="A271" s="109">
        <v>7</v>
      </c>
      <c r="B271" s="110">
        <v>46194</v>
      </c>
      <c r="C271" s="399"/>
      <c r="D271" s="399"/>
      <c r="E271" s="401"/>
      <c r="F271" s="119"/>
      <c r="G271" s="121"/>
      <c r="H271" s="369"/>
      <c r="I271" s="359"/>
      <c r="J271" s="112"/>
      <c r="K271" s="359"/>
      <c r="L271" s="359"/>
      <c r="M271" s="121"/>
    </row>
    <row r="272" spans="1:13" x14ac:dyDescent="0.3">
      <c r="A272" s="102">
        <v>1</v>
      </c>
      <c r="B272" s="99">
        <v>46195</v>
      </c>
      <c r="C272" s="169"/>
      <c r="D272" s="169"/>
      <c r="E272" s="405"/>
      <c r="F272" s="117"/>
      <c r="G272" s="100"/>
      <c r="H272" s="365"/>
      <c r="I272" s="178"/>
      <c r="J272" s="100"/>
      <c r="K272" s="178"/>
      <c r="L272" s="178"/>
      <c r="M272" s="129"/>
    </row>
    <row r="273" spans="1:13" s="173" customFormat="1" x14ac:dyDescent="0.3">
      <c r="A273" s="392">
        <v>2</v>
      </c>
      <c r="B273" s="152">
        <v>46196</v>
      </c>
      <c r="C273" s="361"/>
      <c r="D273" s="361"/>
      <c r="E273" s="361"/>
      <c r="F273" s="394"/>
      <c r="G273" s="391" t="s">
        <v>240</v>
      </c>
      <c r="H273" s="371"/>
      <c r="I273" s="360"/>
      <c r="J273" s="360"/>
      <c r="K273" s="360"/>
      <c r="L273" s="360"/>
      <c r="M273" s="186"/>
    </row>
    <row r="274" spans="1:13" x14ac:dyDescent="0.3">
      <c r="A274" s="130">
        <v>3</v>
      </c>
      <c r="B274" s="131">
        <v>46197</v>
      </c>
      <c r="C274" s="361"/>
      <c r="D274" s="361"/>
      <c r="E274" s="361"/>
      <c r="F274" s="133"/>
      <c r="G274" s="134"/>
      <c r="H274" s="371"/>
      <c r="I274" s="360"/>
      <c r="J274" s="135"/>
      <c r="K274" s="360"/>
      <c r="L274" s="360"/>
      <c r="M274" s="134" t="s">
        <v>155</v>
      </c>
    </row>
    <row r="275" spans="1:13" s="173" customFormat="1" x14ac:dyDescent="0.3">
      <c r="A275" s="392">
        <v>2</v>
      </c>
      <c r="B275" s="152">
        <v>46198</v>
      </c>
      <c r="C275" s="361"/>
      <c r="D275" s="361"/>
      <c r="E275" s="361"/>
      <c r="F275" s="394"/>
      <c r="G275" s="391" t="s">
        <v>240</v>
      </c>
      <c r="H275" s="371"/>
      <c r="I275" s="360"/>
      <c r="J275" s="360"/>
      <c r="K275" s="360"/>
      <c r="L275" s="360"/>
      <c r="M275" s="186"/>
    </row>
    <row r="276" spans="1:13" s="173" customFormat="1" x14ac:dyDescent="0.35">
      <c r="A276" s="392">
        <v>5</v>
      </c>
      <c r="B276" s="393">
        <v>46199</v>
      </c>
      <c r="C276" s="361"/>
      <c r="D276" s="361"/>
      <c r="E276" s="361"/>
      <c r="F276" s="394"/>
      <c r="G276" s="395" t="s">
        <v>366</v>
      </c>
      <c r="H276" s="371"/>
      <c r="I276" s="360"/>
      <c r="J276" s="360"/>
      <c r="K276" s="360"/>
      <c r="L276" s="360"/>
      <c r="M276" s="186"/>
    </row>
    <row r="277" spans="1:13" x14ac:dyDescent="0.3">
      <c r="A277" s="104">
        <v>6</v>
      </c>
      <c r="B277" s="137">
        <v>46200</v>
      </c>
      <c r="C277" s="175"/>
      <c r="D277" s="175"/>
      <c r="E277" s="175"/>
      <c r="F277" s="108"/>
      <c r="G277" s="120"/>
      <c r="H277" s="368"/>
      <c r="I277" s="77"/>
      <c r="J277" s="107"/>
      <c r="K277" s="77"/>
      <c r="L277" s="77"/>
      <c r="M277" s="120"/>
    </row>
    <row r="278" spans="1:13" x14ac:dyDescent="0.3">
      <c r="A278" s="109">
        <v>7</v>
      </c>
      <c r="B278" s="136">
        <v>46201</v>
      </c>
      <c r="C278" s="399"/>
      <c r="D278" s="399"/>
      <c r="E278" s="401"/>
      <c r="F278" s="119"/>
      <c r="G278" s="121"/>
      <c r="H278" s="369"/>
      <c r="I278" s="359"/>
      <c r="J278" s="112"/>
      <c r="K278" s="359"/>
      <c r="L278" s="359"/>
      <c r="M278" s="121"/>
    </row>
    <row r="279" spans="1:13" x14ac:dyDescent="0.3">
      <c r="A279" s="104">
        <v>1</v>
      </c>
      <c r="B279" s="137">
        <v>46202</v>
      </c>
      <c r="C279" s="175"/>
      <c r="D279" s="175"/>
      <c r="E279" s="175"/>
      <c r="F279" s="108"/>
      <c r="G279" s="120"/>
      <c r="H279" s="368"/>
      <c r="I279" s="77"/>
      <c r="J279" s="107"/>
      <c r="K279" s="77"/>
      <c r="L279" s="77"/>
      <c r="M279" s="120"/>
    </row>
    <row r="280" spans="1:13" x14ac:dyDescent="0.3">
      <c r="A280" s="104">
        <v>2</v>
      </c>
      <c r="B280" s="137">
        <v>46203</v>
      </c>
      <c r="C280" s="169">
        <v>0.75</v>
      </c>
      <c r="D280" s="169">
        <v>0.875</v>
      </c>
      <c r="E280" s="169">
        <v>0.125</v>
      </c>
      <c r="F280" s="385" t="s">
        <v>132</v>
      </c>
      <c r="G280" s="385" t="s">
        <v>355</v>
      </c>
      <c r="H280" s="89" t="s">
        <v>328</v>
      </c>
      <c r="I280" s="89" t="s">
        <v>329</v>
      </c>
      <c r="J280" s="77" t="s">
        <v>157</v>
      </c>
      <c r="K280" s="77">
        <v>1</v>
      </c>
      <c r="L280" s="77"/>
      <c r="M280" s="120"/>
    </row>
    <row r="281" spans="1:13" x14ac:dyDescent="0.3">
      <c r="A281" s="104">
        <v>3</v>
      </c>
      <c r="B281" s="137">
        <v>46204</v>
      </c>
      <c r="C281" s="175"/>
      <c r="D281" s="175"/>
      <c r="E281" s="175"/>
      <c r="F281" s="379"/>
      <c r="G281" s="379"/>
      <c r="H281" s="379"/>
      <c r="I281" s="89"/>
      <c r="J281" s="77"/>
      <c r="K281" s="77"/>
      <c r="L281" s="77"/>
      <c r="M281" s="120"/>
    </row>
    <row r="282" spans="1:13" x14ac:dyDescent="0.3">
      <c r="A282" s="104">
        <v>4</v>
      </c>
      <c r="B282" s="137">
        <v>46205</v>
      </c>
      <c r="C282" s="169">
        <v>0.75</v>
      </c>
      <c r="D282" s="169">
        <v>0.875</v>
      </c>
      <c r="E282" s="169">
        <v>0.125</v>
      </c>
      <c r="F282" s="385" t="s">
        <v>132</v>
      </c>
      <c r="G282" s="385" t="s">
        <v>296</v>
      </c>
      <c r="H282" s="89" t="s">
        <v>328</v>
      </c>
      <c r="I282" s="89" t="s">
        <v>329</v>
      </c>
      <c r="J282" s="77" t="s">
        <v>157</v>
      </c>
      <c r="K282" s="77">
        <v>1</v>
      </c>
      <c r="L282" s="77"/>
      <c r="M282" s="120"/>
    </row>
    <row r="283" spans="1:13" x14ac:dyDescent="0.3">
      <c r="A283" s="104">
        <v>5</v>
      </c>
      <c r="B283" s="137">
        <v>46206</v>
      </c>
      <c r="C283" s="175">
        <v>0.66666666666666663</v>
      </c>
      <c r="D283" s="175">
        <v>0.79166666666666663</v>
      </c>
      <c r="E283" s="175">
        <v>0.125</v>
      </c>
      <c r="F283" s="385" t="s">
        <v>132</v>
      </c>
      <c r="G283" s="385" t="s">
        <v>296</v>
      </c>
      <c r="H283" s="89" t="s">
        <v>328</v>
      </c>
      <c r="I283" s="89" t="s">
        <v>329</v>
      </c>
      <c r="J283" s="77" t="s">
        <v>157</v>
      </c>
      <c r="K283" s="77">
        <v>1</v>
      </c>
      <c r="L283" s="77"/>
      <c r="M283" s="120"/>
    </row>
    <row r="284" spans="1:13" x14ac:dyDescent="0.3">
      <c r="A284" s="104">
        <v>6</v>
      </c>
      <c r="B284" s="137">
        <v>46207</v>
      </c>
      <c r="C284" s="175">
        <v>0.41666666666666669</v>
      </c>
      <c r="D284" s="175">
        <v>0.54166666666666663</v>
      </c>
      <c r="E284" s="175">
        <v>0.125</v>
      </c>
      <c r="F284" s="385" t="s">
        <v>132</v>
      </c>
      <c r="G284" s="385" t="s">
        <v>296</v>
      </c>
      <c r="H284" s="89" t="s">
        <v>328</v>
      </c>
      <c r="I284" s="89" t="s">
        <v>329</v>
      </c>
      <c r="J284" s="77" t="s">
        <v>157</v>
      </c>
      <c r="K284" s="77">
        <v>1</v>
      </c>
      <c r="L284" s="415">
        <f>SUM(K196:K284)</f>
        <v>32</v>
      </c>
      <c r="M284" s="120"/>
    </row>
    <row r="286" spans="1:13" x14ac:dyDescent="0.3">
      <c r="E286" s="406">
        <f>SUM(E2:E284)</f>
        <v>12.875</v>
      </c>
      <c r="F286" s="69" t="s">
        <v>150</v>
      </c>
    </row>
    <row r="287" spans="1:13" x14ac:dyDescent="0.3">
      <c r="E287" s="406">
        <f>SUMIF(J2:J284,"SI",E2:E284)</f>
        <v>7.75</v>
      </c>
      <c r="F287" s="69" t="s">
        <v>162</v>
      </c>
    </row>
    <row r="288" spans="1:13" x14ac:dyDescent="0.3">
      <c r="E288" s="407">
        <f>E287/E286</f>
        <v>0.60194174757281549</v>
      </c>
    </row>
  </sheetData>
  <autoFilter ref="A1:J284" xr:uid="{5F45880E-11F5-4BCA-A84A-4DAF095CECEA}">
    <sortState xmlns:xlrd2="http://schemas.microsoft.com/office/spreadsheetml/2017/richdata2" ref="A2:J284">
      <sortCondition ref="B1:B284"/>
    </sortState>
  </autoFilter>
  <mergeCells count="1">
    <mergeCell ref="C9:D9"/>
  </mergeCells>
  <phoneticPr fontId="7" type="noConversion"/>
  <conditionalFormatting sqref="A49:A53 I55:J55 I57:M57 K59:M59 I62:J62 I64:J64 J210 I211:J211 J213 F214:J214 I246:J248 H84 H86">
    <cfRule type="expression" dxfId="112" priority="111">
      <formula>IFERROR(INDEX(DiasCategorias, A49-FechaInicio+1),0)=1</formula>
    </cfRule>
    <cfRule type="expression" dxfId="111" priority="112">
      <formula>IFERROR(INDEX(DiasCategorias, A49-FechaInicio+1),0)=2</formula>
    </cfRule>
    <cfRule type="expression" dxfId="110" priority="113">
      <formula>IFERROR(INDEX(DiasCategorias, A49-FechaInicio+1),0)=3</formula>
    </cfRule>
    <cfRule type="expression" dxfId="109" priority="114">
      <formula>IFERROR(INDEX(DiasCategorias, A49-FechaInicio+1),0)=4</formula>
    </cfRule>
    <cfRule type="expression" dxfId="108" priority="115">
      <formula>IFERROR(INDEX(DiasCategorias, A49-FechaInicio+1),0)=5</formula>
    </cfRule>
  </conditionalFormatting>
  <conditionalFormatting sqref="A208">
    <cfRule type="expression" dxfId="107" priority="106">
      <formula>IFERROR(INDEX(DiasCategorias, A208-FechaInicio+1),0)=1</formula>
    </cfRule>
    <cfRule type="expression" dxfId="106" priority="107">
      <formula>IFERROR(INDEX(DiasCategorias, A208-FechaInicio+1),0)=2</formula>
    </cfRule>
    <cfRule type="expression" dxfId="105" priority="108">
      <formula>IFERROR(INDEX(DiasCategorias, A208-FechaInicio+1),0)=3</formula>
    </cfRule>
    <cfRule type="expression" dxfId="104" priority="109">
      <formula>IFERROR(INDEX(DiasCategorias, A208-FechaInicio+1),0)=4</formula>
    </cfRule>
    <cfRule type="expression" dxfId="103" priority="110">
      <formula>IFERROR(INDEX(DiasCategorias, A208-FechaInicio+1),0)=5</formula>
    </cfRule>
  </conditionalFormatting>
  <conditionalFormatting sqref="F218">
    <cfRule type="expression" dxfId="102" priority="116">
      <formula>IFERROR(INDEX(DiasCategorias, F218-FechaInicio+1),0)=1</formula>
    </cfRule>
    <cfRule type="expression" dxfId="101" priority="117">
      <formula>IFERROR(INDEX(DiasCategorias, F218-FechaInicio+1),0)=2</formula>
    </cfRule>
    <cfRule type="expression" dxfId="100" priority="118">
      <formula>IFERROR(INDEX(DiasCategorias, F218-FechaInicio+1),0)=3</formula>
    </cfRule>
    <cfRule type="expression" dxfId="99" priority="119">
      <formula>IFERROR(INDEX(DiasCategorias, F218-FechaInicio+1),0)=4</formula>
    </cfRule>
    <cfRule type="expression" dxfId="98" priority="120">
      <formula>IFERROR(INDEX(DiasCategorias, F218-FechaInicio+1),0)=5</formula>
    </cfRule>
  </conditionalFormatting>
  <conditionalFormatting sqref="F66:G66 I66:J66">
    <cfRule type="expression" dxfId="97" priority="66">
      <formula>IFERROR(INDEX(DiasCategorias, F66-FechaInicio+1),0)=1</formula>
    </cfRule>
    <cfRule type="expression" dxfId="96" priority="67">
      <formula>IFERROR(INDEX(DiasCategorias, F66-FechaInicio+1),0)=2</formula>
    </cfRule>
    <cfRule type="expression" dxfId="95" priority="68">
      <formula>IFERROR(INDEX(DiasCategorias, F66-FechaInicio+1),0)=3</formula>
    </cfRule>
    <cfRule type="expression" dxfId="94" priority="69">
      <formula>IFERROR(INDEX(DiasCategorias, F66-FechaInicio+1),0)=4</formula>
    </cfRule>
    <cfRule type="expression" dxfId="93" priority="70">
      <formula>IFERROR(INDEX(DiasCategorias, F66-FechaInicio+1),0)=5</formula>
    </cfRule>
  </conditionalFormatting>
  <conditionalFormatting sqref="H56 J56">
    <cfRule type="expression" dxfId="92" priority="82">
      <formula>IFERROR(INDEX(DiasCategorias, H56-FechaInicio+1),0)=2</formula>
    </cfRule>
    <cfRule type="expression" dxfId="91" priority="83">
      <formula>IFERROR(INDEX(DiasCategorias, H56-FechaInicio+1),0)=3</formula>
    </cfRule>
    <cfRule type="expression" dxfId="90" priority="84">
      <formula>IFERROR(INDEX(DiasCategorias, H56-FechaInicio+1),0)=4</formula>
    </cfRule>
    <cfRule type="expression" dxfId="89" priority="85">
      <formula>IFERROR(INDEX(DiasCategorias, H56-FechaInicio+1),0)=5</formula>
    </cfRule>
  </conditionalFormatting>
  <conditionalFormatting sqref="H80">
    <cfRule type="expression" dxfId="88" priority="51">
      <formula>IFERROR(INDEX(DiasCategorias, H80-FechaInicio+1),0)=1</formula>
    </cfRule>
    <cfRule type="expression" dxfId="87" priority="52">
      <formula>IFERROR(INDEX(DiasCategorias, H80-FechaInicio+1),0)=2</formula>
    </cfRule>
    <cfRule type="expression" dxfId="86" priority="53">
      <formula>IFERROR(INDEX(DiasCategorias, H80-FechaInicio+1),0)=3</formula>
    </cfRule>
    <cfRule type="expression" dxfId="85" priority="54">
      <formula>IFERROR(INDEX(DiasCategorias, H80-FechaInicio+1),0)=4</formula>
    </cfRule>
    <cfRule type="expression" dxfId="84" priority="55">
      <formula>IFERROR(INDEX(DiasCategorias, H80-FechaInicio+1),0)=5</formula>
    </cfRule>
  </conditionalFormatting>
  <conditionalFormatting sqref="H58:I58">
    <cfRule type="expression" dxfId="83" priority="71">
      <formula>IFERROR(INDEX(DiasCategorias, H58-FechaInicio+1),0)=1</formula>
    </cfRule>
    <cfRule type="expression" dxfId="82" priority="72">
      <formula>IFERROR(INDEX(DiasCategorias, H58-FechaInicio+1),0)=2</formula>
    </cfRule>
    <cfRule type="expression" dxfId="81" priority="73">
      <formula>IFERROR(INDEX(DiasCategorias, H58-FechaInicio+1),0)=3</formula>
    </cfRule>
    <cfRule type="expression" dxfId="80" priority="74">
      <formula>IFERROR(INDEX(DiasCategorias, H58-FechaInicio+1),0)=4</formula>
    </cfRule>
    <cfRule type="expression" dxfId="79" priority="75">
      <formula>IFERROR(INDEX(DiasCategorias, H58-FechaInicio+1),0)=5</formula>
    </cfRule>
  </conditionalFormatting>
  <conditionalFormatting sqref="H79:I79">
    <cfRule type="expression" dxfId="78" priority="56">
      <formula>IFERROR(INDEX(DiasCategorias, H79-FechaInicio+1),0)=1</formula>
    </cfRule>
    <cfRule type="expression" dxfId="77" priority="57">
      <formula>IFERROR(INDEX(DiasCategorias, H79-FechaInicio+1),0)=2</formula>
    </cfRule>
    <cfRule type="expression" dxfId="76" priority="58">
      <formula>IFERROR(INDEX(DiasCategorias, H79-FechaInicio+1),0)=3</formula>
    </cfRule>
    <cfRule type="expression" dxfId="75" priority="59">
      <formula>IFERROR(INDEX(DiasCategorias, H79-FechaInicio+1),0)=4</formula>
    </cfRule>
    <cfRule type="expression" dxfId="74" priority="60">
      <formula>IFERROR(INDEX(DiasCategorias, H79-FechaInicio+1),0)=5</formula>
    </cfRule>
  </conditionalFormatting>
  <conditionalFormatting sqref="I52:J52">
    <cfRule type="expression" dxfId="73" priority="86">
      <formula>IFERROR(INDEX(DiasCategorias, I52-FechaInicio+1),0)=1</formula>
    </cfRule>
    <cfRule type="expression" dxfId="72" priority="87">
      <formula>IFERROR(INDEX(DiasCategorias, I52-FechaInicio+1),0)=2</formula>
    </cfRule>
    <cfRule type="expression" dxfId="71" priority="88">
      <formula>IFERROR(INDEX(DiasCategorias, I52-FechaInicio+1),0)=3</formula>
    </cfRule>
    <cfRule type="expression" dxfId="70" priority="89">
      <formula>IFERROR(INDEX(DiasCategorias, I52-FechaInicio+1),0)=4</formula>
    </cfRule>
    <cfRule type="expression" dxfId="69" priority="90">
      <formula>IFERROR(INDEX(DiasCategorias, I52-FechaInicio+1),0)=5</formula>
    </cfRule>
  </conditionalFormatting>
  <conditionalFormatting sqref="I177:J178">
    <cfRule type="expression" dxfId="68" priority="31">
      <formula>IFERROR(INDEX(DiasCategorias, I177-FechaInicio+1),0)=1</formula>
    </cfRule>
    <cfRule type="expression" dxfId="67" priority="32">
      <formula>IFERROR(INDEX(DiasCategorias, I177-FechaInicio+1),0)=2</formula>
    </cfRule>
    <cfRule type="expression" dxfId="66" priority="33">
      <formula>IFERROR(INDEX(DiasCategorias, I177-FechaInicio+1),0)=3</formula>
    </cfRule>
    <cfRule type="expression" dxfId="65" priority="34">
      <formula>IFERROR(INDEX(DiasCategorias, I177-FechaInicio+1),0)=4</formula>
    </cfRule>
    <cfRule type="expression" dxfId="64" priority="35">
      <formula>IFERROR(INDEX(DiasCategorias, I177-FechaInicio+1),0)=5</formula>
    </cfRule>
  </conditionalFormatting>
  <conditionalFormatting sqref="I205:J206">
    <cfRule type="expression" dxfId="63" priority="11">
      <formula>IFERROR(INDEX(DiasCategorias, I205-FechaInicio+1),0)=1</formula>
    </cfRule>
    <cfRule type="expression" dxfId="62" priority="12">
      <formula>IFERROR(INDEX(DiasCategorias, I205-FechaInicio+1),0)=2</formula>
    </cfRule>
    <cfRule type="expression" dxfId="61" priority="13">
      <formula>IFERROR(INDEX(DiasCategorias, I205-FechaInicio+1),0)=3</formula>
    </cfRule>
    <cfRule type="expression" dxfId="60" priority="14">
      <formula>IFERROR(INDEX(DiasCategorias, I205-FechaInicio+1),0)=4</formula>
    </cfRule>
    <cfRule type="expression" dxfId="59" priority="15">
      <formula>IFERROR(INDEX(DiasCategorias, I205-FechaInicio+1),0)=5</formula>
    </cfRule>
  </conditionalFormatting>
  <conditionalFormatting sqref="I217:J217">
    <cfRule type="expression" dxfId="58" priority="26">
      <formula>IFERROR(INDEX(DiasCategorias, I217-FechaInicio+1),0)=1</formula>
    </cfRule>
    <cfRule type="expression" dxfId="57" priority="27">
      <formula>IFERROR(INDEX(DiasCategorias, I217-FechaInicio+1),0)=2</formula>
    </cfRule>
    <cfRule type="expression" dxfId="56" priority="28">
      <formula>IFERROR(INDEX(DiasCategorias, I217-FechaInicio+1),0)=3</formula>
    </cfRule>
    <cfRule type="expression" dxfId="55" priority="29">
      <formula>IFERROR(INDEX(DiasCategorias, I217-FechaInicio+1),0)=4</formula>
    </cfRule>
    <cfRule type="expression" dxfId="54" priority="30">
      <formula>IFERROR(INDEX(DiasCategorias, I217-FechaInicio+1),0)=5</formula>
    </cfRule>
  </conditionalFormatting>
  <conditionalFormatting sqref="I224:J224">
    <cfRule type="expression" dxfId="53" priority="21">
      <formula>IFERROR(INDEX(DiasCategorias, I224-FechaInicio+1),0)=1</formula>
    </cfRule>
    <cfRule type="expression" dxfId="52" priority="22">
      <formula>IFERROR(INDEX(DiasCategorias, I224-FechaInicio+1),0)=2</formula>
    </cfRule>
    <cfRule type="expression" dxfId="51" priority="23">
      <formula>IFERROR(INDEX(DiasCategorias, I224-FechaInicio+1),0)=3</formula>
    </cfRule>
    <cfRule type="expression" dxfId="50" priority="24">
      <formula>IFERROR(INDEX(DiasCategorias, I224-FechaInicio+1),0)=4</formula>
    </cfRule>
    <cfRule type="expression" dxfId="49" priority="25">
      <formula>IFERROR(INDEX(DiasCategorias, I224-FechaInicio+1),0)=5</formula>
    </cfRule>
  </conditionalFormatting>
  <conditionalFormatting sqref="I226:J226">
    <cfRule type="expression" dxfId="48" priority="16">
      <formula>IFERROR(INDEX(DiasCategorias, I226-FechaInicio+1),0)=1</formula>
    </cfRule>
    <cfRule type="expression" dxfId="47" priority="17">
      <formula>IFERROR(INDEX(DiasCategorias, I226-FechaInicio+1),0)=2</formula>
    </cfRule>
    <cfRule type="expression" dxfId="46" priority="18">
      <formula>IFERROR(INDEX(DiasCategorias, I226-FechaInicio+1),0)=3</formula>
    </cfRule>
    <cfRule type="expression" dxfId="45" priority="19">
      <formula>IFERROR(INDEX(DiasCategorias, I226-FechaInicio+1),0)=4</formula>
    </cfRule>
    <cfRule type="expression" dxfId="44" priority="20">
      <formula>IFERROR(INDEX(DiasCategorias, I226-FechaInicio+1),0)=5</formula>
    </cfRule>
  </conditionalFormatting>
  <conditionalFormatting sqref="J56 H56">
    <cfRule type="expression" dxfId="43" priority="81">
      <formula>IFERROR(INDEX(DiasCategorias, H56-FechaInicio+1),0)=1</formula>
    </cfRule>
  </conditionalFormatting>
  <conditionalFormatting sqref="J56">
    <cfRule type="expression" dxfId="42" priority="76">
      <formula>IFERROR(INDEX(DiasCategorias, J56-FechaInicio+1),0)=1</formula>
    </cfRule>
    <cfRule type="expression" dxfId="41" priority="77">
      <formula>IFERROR(INDEX(DiasCategorias, J56-FechaInicio+1),0)=2</formula>
    </cfRule>
    <cfRule type="expression" dxfId="40" priority="78">
      <formula>IFERROR(INDEX(DiasCategorias, J56-FechaInicio+1),0)=3</formula>
    </cfRule>
    <cfRule type="expression" dxfId="39" priority="79">
      <formula>IFERROR(INDEX(DiasCategorias, J56-FechaInicio+1),0)=4</formula>
    </cfRule>
    <cfRule type="expression" dxfId="38" priority="80">
      <formula>IFERROR(INDEX(DiasCategorias, J56-FechaInicio+1),0)=5</formula>
    </cfRule>
  </conditionalFormatting>
  <conditionalFormatting sqref="J112 J114:J115">
    <cfRule type="expression" dxfId="37" priority="41">
      <formula>IFERROR(INDEX(DiasCategorias, J112-FechaInicio+1),0)=1</formula>
    </cfRule>
    <cfRule type="expression" dxfId="36" priority="42">
      <formula>IFERROR(INDEX(DiasCategorias, J112-FechaInicio+1),0)=2</formula>
    </cfRule>
    <cfRule type="expression" dxfId="35" priority="43">
      <formula>IFERROR(INDEX(DiasCategorias, J112-FechaInicio+1),0)=3</formula>
    </cfRule>
    <cfRule type="expression" dxfId="34" priority="44">
      <formula>IFERROR(INDEX(DiasCategorias, J112-FechaInicio+1),0)=4</formula>
    </cfRule>
    <cfRule type="expression" dxfId="33" priority="45">
      <formula>IFERROR(INDEX(DiasCategorias, J112-FechaInicio+1),0)=5</formula>
    </cfRule>
  </conditionalFormatting>
  <conditionalFormatting sqref="J119">
    <cfRule type="expression" dxfId="32" priority="36">
      <formula>IFERROR(INDEX(DiasCategorias, J119-FechaInicio+1),0)=1</formula>
    </cfRule>
    <cfRule type="expression" dxfId="31" priority="37">
      <formula>IFERROR(INDEX(DiasCategorias, J119-FechaInicio+1),0)=2</formula>
    </cfRule>
    <cfRule type="expression" dxfId="30" priority="38">
      <formula>IFERROR(INDEX(DiasCategorias, J119-FechaInicio+1),0)=3</formula>
    </cfRule>
    <cfRule type="expression" dxfId="29" priority="39">
      <formula>IFERROR(INDEX(DiasCategorias, J119-FechaInicio+1),0)=4</formula>
    </cfRule>
    <cfRule type="expression" dxfId="28" priority="40">
      <formula>IFERROR(INDEX(DiasCategorias, J119-FechaInicio+1),0)=5</formula>
    </cfRule>
  </conditionalFormatting>
  <conditionalFormatting sqref="K55:M56 K210:M211 K213:M214 K245:M248">
    <cfRule type="expression" dxfId="27" priority="96">
      <formula>IFERROR(INDEX(DiasCategorias, K55-FechaInicio+1),0)=1</formula>
    </cfRule>
    <cfRule type="expression" dxfId="26" priority="97">
      <formula>IFERROR(INDEX(DiasCategorias, K55-FechaInicio+1),0)=2</formula>
    </cfRule>
    <cfRule type="expression" dxfId="25" priority="98">
      <formula>IFERROR(INDEX(DiasCategorias, K55-FechaInicio+1),0)=3</formula>
    </cfRule>
    <cfRule type="expression" dxfId="24" priority="99">
      <formula>IFERROR(INDEX(DiasCategorias, K55-FechaInicio+1),0)=4</formula>
    </cfRule>
    <cfRule type="expression" dxfId="23" priority="100">
      <formula>IFERROR(INDEX(DiasCategorias, K55-FechaInicio+1),0)=5</formula>
    </cfRule>
  </conditionalFormatting>
  <conditionalFormatting sqref="K62:M66">
    <cfRule type="expression" dxfId="22" priority="91">
      <formula>IFERROR(INDEX(DiasCategorias, K62-FechaInicio+1),0)=1</formula>
    </cfRule>
    <cfRule type="expression" dxfId="21" priority="92">
      <formula>IFERROR(INDEX(DiasCategorias, K62-FechaInicio+1),0)=2</formula>
    </cfRule>
    <cfRule type="expression" dxfId="20" priority="93">
      <formula>IFERROR(INDEX(DiasCategorias, K62-FechaInicio+1),0)=3</formula>
    </cfRule>
    <cfRule type="expression" dxfId="19" priority="94">
      <formula>IFERROR(INDEX(DiasCategorias, K62-FechaInicio+1),0)=4</formula>
    </cfRule>
    <cfRule type="expression" dxfId="18" priority="95">
      <formula>IFERROR(INDEX(DiasCategorias, K62-FechaInicio+1),0)=5</formula>
    </cfRule>
  </conditionalFormatting>
  <conditionalFormatting sqref="I73">
    <cfRule type="expression" dxfId="9" priority="6">
      <formula>IFERROR(INDEX(DiasCategorias, I73-FechaInicio+1),0)=1</formula>
    </cfRule>
    <cfRule type="expression" dxfId="8" priority="7">
      <formula>IFERROR(INDEX(DiasCategorias, I73-FechaInicio+1),0)=2</formula>
    </cfRule>
    <cfRule type="expression" dxfId="7" priority="8">
      <formula>IFERROR(INDEX(DiasCategorias, I73-FechaInicio+1),0)=3</formula>
    </cfRule>
    <cfRule type="expression" dxfId="6" priority="9">
      <formula>IFERROR(INDEX(DiasCategorias, I73-FechaInicio+1),0)=4</formula>
    </cfRule>
    <cfRule type="expression" dxfId="5" priority="10">
      <formula>IFERROR(INDEX(DiasCategorias, I73-FechaInicio+1),0)=5</formula>
    </cfRule>
  </conditionalFormatting>
  <conditionalFormatting sqref="I77">
    <cfRule type="expression" dxfId="4" priority="1">
      <formula>IFERROR(INDEX(DiasCategorias, I77-FechaInicio+1),0)=1</formula>
    </cfRule>
    <cfRule type="expression" dxfId="3" priority="2">
      <formula>IFERROR(INDEX(DiasCategorias, I77-FechaInicio+1),0)=2</formula>
    </cfRule>
    <cfRule type="expression" dxfId="2" priority="3">
      <formula>IFERROR(INDEX(DiasCategorias, I77-FechaInicio+1),0)=3</formula>
    </cfRule>
    <cfRule type="expression" dxfId="1" priority="4">
      <formula>IFERROR(INDEX(DiasCategorias, I77-FechaInicio+1),0)=4</formula>
    </cfRule>
    <cfRule type="expression" dxfId="0" priority="5">
      <formula>IFERROR(INDEX(DiasCategorias, I77-FechaInicio+1),0)=5</formula>
    </cfRule>
  </conditionalFormatting>
  <dataValidations count="2">
    <dataValidation type="list" allowBlank="1" showInputMessage="1" showErrorMessage="1" sqref="H164 H202" xr:uid="{122581CD-16DC-41F4-AE8D-26AF2D884132}">
      <formula1>PROFESSORS</formula1>
    </dataValidation>
    <dataValidation type="list" allowBlank="1" showInputMessage="1" showErrorMessage="1" errorTitle="opcio no valida" error="cal seleccionar una opció" promptTitle="Cal seleccionar una opció obliga" sqref="J121" xr:uid="{D3AB73FF-FA39-4A01-B34A-A8948216199C}">
      <formula1>#REF!</formula1>
    </dataValidation>
  </dataValidations>
  <pageMargins left="0.70866141732283472" right="0.70866141732283472" top="0.74803149606299213" bottom="0.74803149606299213" header="0.31496062992125984" footer="0.31496062992125984"/>
  <pageSetup paperSize="9" scale="70" fitToWidth="55" orientation="landscape"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E75EDCD-62CD-42AE-8886-EBE55AAA62C4}">
          <x14:formula1>
            <xm:f>rangs!$E$4:$E$14</xm:f>
          </x14:formula1>
          <xm:sqref>F8 F257:F258 F11:F13 F18:F20 F22 F25:F27 F32:F34 F36 F39:F41 F46:F48 F53:F55 F60:F62 F64 F67:F69 F71 F74:F76 F2 F81:F83 F57 F88:F106 F109:F111 F116:F118 F151:F153 F123:F125 F130:F132 F134 F137:F139 F144:F146 F158:F160 F162 F179:F181 F165:F167 F169 F172:F174 F186:F195 F200:F202 F207:F209 F211:F212 F218 F214:F216 F220:F223 F228:F230 F232 F197 F183 F242:F244 F260 F263:F268 F270:F279 F234 F246 F248:F251 F236 F238 F255 F4:F6 F85</xm:sqref>
        </x14:dataValidation>
        <x14:dataValidation type="list" allowBlank="1" showInputMessage="1" showErrorMessage="1" xr:uid="{EAD3AD6D-A127-4C8C-8DE2-9FA2C5739705}">
          <x14:formula1>
            <xm:f>rangs!$B$3:$B$4</xm:f>
          </x14:formula1>
          <xm:sqref>J10:J13 J18:J27 J32:J34 J36 J38:J41 J46:J51 J53:J55 J60:J62 J64 J66:J69 J71 J74:J76 J81:J83 J57 J85 J87:J111 J116:J118 J123:J125 J129:J132 J134 J137:J139 J144:J146 J151:J153 J157:J160 J162 J164:J167 J169 J171:J174 J263:J279 J256:J258 J242:J244 J253 J260 J246:J251 J179:J195 J197 J199:J202 J204 J207:J226 J228:J232 J236:J240 J2:J8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136E-A62E-45B8-B993-2CA40185A3C6}">
  <dimension ref="A2:L11"/>
  <sheetViews>
    <sheetView workbookViewId="0">
      <selection activeCell="N2" sqref="N2"/>
    </sheetView>
  </sheetViews>
  <sheetFormatPr baseColWidth="10" defaultColWidth="11.453125" defaultRowHeight="14.5" x14ac:dyDescent="0.35"/>
  <cols>
    <col min="2" max="2" width="37.36328125" customWidth="1"/>
    <col min="3" max="3" width="53.36328125" customWidth="1"/>
    <col min="4" max="4" width="15.36328125" customWidth="1"/>
    <col min="10" max="10" width="13.54296875" customWidth="1"/>
    <col min="11" max="11" width="14.08984375" customWidth="1"/>
  </cols>
  <sheetData>
    <row r="2" spans="1:12" s="11" customFormat="1" ht="139.5" customHeight="1" x14ac:dyDescent="0.35">
      <c r="D2" s="12"/>
      <c r="E2" s="13"/>
      <c r="F2" s="12"/>
      <c r="G2" s="13"/>
      <c r="H2" s="12"/>
      <c r="I2" s="13"/>
      <c r="J2" s="12"/>
      <c r="K2" s="13"/>
      <c r="L2" s="12"/>
    </row>
    <row r="3" spans="1:12" s="11" customFormat="1" ht="21.75" customHeight="1" x14ac:dyDescent="0.35">
      <c r="D3" s="12"/>
      <c r="E3" s="13"/>
      <c r="F3" s="12"/>
      <c r="G3" s="13"/>
      <c r="H3" s="12"/>
      <c r="I3" s="13"/>
      <c r="J3" s="12"/>
      <c r="K3" s="13"/>
      <c r="L3" s="12"/>
    </row>
    <row r="4" spans="1:12" s="11" customFormat="1" ht="42" x14ac:dyDescent="0.35">
      <c r="D4" s="63" t="s">
        <v>163</v>
      </c>
      <c r="E4" s="64" t="s">
        <v>159</v>
      </c>
      <c r="F4" s="64" t="s">
        <v>85</v>
      </c>
      <c r="G4" s="63" t="s">
        <v>37</v>
      </c>
      <c r="H4" s="63" t="s">
        <v>92</v>
      </c>
      <c r="I4" s="64" t="s">
        <v>54</v>
      </c>
      <c r="J4" s="63" t="s">
        <v>160</v>
      </c>
      <c r="K4" s="63" t="s">
        <v>164</v>
      </c>
      <c r="L4" s="64" t="s">
        <v>130</v>
      </c>
    </row>
    <row r="5" spans="1:12" ht="43.5" x14ac:dyDescent="0.35">
      <c r="A5" s="470" t="s">
        <v>165</v>
      </c>
      <c r="B5" s="15" t="s">
        <v>166</v>
      </c>
      <c r="C5" s="15" t="s">
        <v>167</v>
      </c>
      <c r="D5" s="14" t="s">
        <v>173</v>
      </c>
      <c r="E5" s="14" t="s">
        <v>173</v>
      </c>
      <c r="F5" s="14" t="s">
        <v>173</v>
      </c>
      <c r="G5" s="14" t="s">
        <v>173</v>
      </c>
      <c r="H5" s="14" t="s">
        <v>173</v>
      </c>
      <c r="I5" s="14" t="s">
        <v>173</v>
      </c>
      <c r="J5" s="14" t="s">
        <v>173</v>
      </c>
      <c r="K5" s="14" t="s">
        <v>168</v>
      </c>
      <c r="L5" s="14" t="s">
        <v>168</v>
      </c>
    </row>
    <row r="6" spans="1:12" ht="58" x14ac:dyDescent="0.35">
      <c r="A6" s="470"/>
      <c r="B6" s="15" t="s">
        <v>169</v>
      </c>
      <c r="C6" s="15" t="s">
        <v>170</v>
      </c>
      <c r="D6" s="14" t="s">
        <v>173</v>
      </c>
      <c r="E6" s="14" t="s">
        <v>173</v>
      </c>
      <c r="F6" s="14" t="s">
        <v>173</v>
      </c>
      <c r="G6" s="14" t="s">
        <v>173</v>
      </c>
      <c r="H6" s="14" t="s">
        <v>173</v>
      </c>
      <c r="I6" s="14" t="s">
        <v>173</v>
      </c>
      <c r="J6" s="14" t="s">
        <v>173</v>
      </c>
      <c r="K6" s="14" t="s">
        <v>168</v>
      </c>
      <c r="L6" s="14" t="s">
        <v>168</v>
      </c>
    </row>
    <row r="7" spans="1:12" ht="58" x14ac:dyDescent="0.35">
      <c r="A7" s="470"/>
      <c r="B7" s="15" t="s">
        <v>171</v>
      </c>
      <c r="C7" s="15" t="s">
        <v>172</v>
      </c>
      <c r="D7" s="14" t="s">
        <v>173</v>
      </c>
      <c r="E7" s="14" t="s">
        <v>173</v>
      </c>
      <c r="F7" s="14" t="s">
        <v>173</v>
      </c>
      <c r="G7" s="14" t="s">
        <v>173</v>
      </c>
      <c r="H7" s="14" t="s">
        <v>173</v>
      </c>
      <c r="I7" s="14" t="s">
        <v>173</v>
      </c>
      <c r="J7" s="14" t="s">
        <v>173</v>
      </c>
      <c r="K7" s="14" t="s">
        <v>168</v>
      </c>
      <c r="L7" s="14" t="s">
        <v>168</v>
      </c>
    </row>
    <row r="8" spans="1:12" ht="58" x14ac:dyDescent="0.35">
      <c r="A8" s="470"/>
      <c r="B8" s="15" t="s">
        <v>174</v>
      </c>
      <c r="C8" s="15" t="s">
        <v>175</v>
      </c>
      <c r="D8" s="14" t="s">
        <v>173</v>
      </c>
      <c r="E8" s="14" t="s">
        <v>173</v>
      </c>
      <c r="F8" s="14" t="s">
        <v>173</v>
      </c>
      <c r="G8" s="14" t="s">
        <v>173</v>
      </c>
      <c r="H8" s="14" t="s">
        <v>173</v>
      </c>
      <c r="I8" s="14" t="s">
        <v>173</v>
      </c>
      <c r="J8" s="14" t="s">
        <v>173</v>
      </c>
      <c r="K8" s="14" t="s">
        <v>168</v>
      </c>
      <c r="L8" s="14" t="s">
        <v>168</v>
      </c>
    </row>
    <row r="9" spans="1:12" ht="43.5" x14ac:dyDescent="0.35">
      <c r="A9" s="470"/>
      <c r="B9" s="15" t="s">
        <v>176</v>
      </c>
      <c r="C9" s="15" t="s">
        <v>177</v>
      </c>
      <c r="D9" s="14" t="s">
        <v>173</v>
      </c>
      <c r="E9" s="14" t="s">
        <v>173</v>
      </c>
      <c r="F9" s="14" t="s">
        <v>173</v>
      </c>
      <c r="G9" s="14" t="s">
        <v>173</v>
      </c>
      <c r="H9" s="14" t="s">
        <v>173</v>
      </c>
      <c r="I9" s="14" t="s">
        <v>173</v>
      </c>
      <c r="J9" s="14" t="s">
        <v>168</v>
      </c>
      <c r="K9" s="14" t="s">
        <v>168</v>
      </c>
      <c r="L9" s="14" t="s">
        <v>168</v>
      </c>
    </row>
    <row r="10" spans="1:12" ht="43.5" x14ac:dyDescent="0.35">
      <c r="A10" s="470"/>
      <c r="B10" s="15" t="s">
        <v>178</v>
      </c>
      <c r="C10" s="15" t="s">
        <v>179</v>
      </c>
      <c r="D10" s="14" t="s">
        <v>234</v>
      </c>
      <c r="E10" s="14" t="s">
        <v>234</v>
      </c>
      <c r="F10" s="14" t="s">
        <v>234</v>
      </c>
      <c r="G10" s="14" t="s">
        <v>234</v>
      </c>
      <c r="H10" s="14" t="s">
        <v>234</v>
      </c>
      <c r="I10" s="14" t="s">
        <v>234</v>
      </c>
      <c r="J10" s="14" t="s">
        <v>234</v>
      </c>
      <c r="K10" s="14" t="s">
        <v>234</v>
      </c>
      <c r="L10" s="14" t="s">
        <v>168</v>
      </c>
    </row>
    <row r="11" spans="1:12" ht="58" x14ac:dyDescent="0.35">
      <c r="A11" s="470"/>
      <c r="B11" s="15" t="s">
        <v>180</v>
      </c>
      <c r="C11" s="15" t="s">
        <v>181</v>
      </c>
      <c r="D11" s="14" t="s">
        <v>234</v>
      </c>
      <c r="E11" s="14" t="s">
        <v>234</v>
      </c>
      <c r="F11" s="14" t="s">
        <v>234</v>
      </c>
      <c r="G11" s="14" t="s">
        <v>234</v>
      </c>
      <c r="H11" s="14" t="s">
        <v>234</v>
      </c>
      <c r="I11" s="14" t="s">
        <v>234</v>
      </c>
      <c r="J11" s="14" t="s">
        <v>234</v>
      </c>
      <c r="K11" s="14" t="s">
        <v>234</v>
      </c>
      <c r="L11" s="14" t="s">
        <v>168</v>
      </c>
    </row>
  </sheetData>
  <mergeCells count="1">
    <mergeCell ref="A5:A11"/>
  </mergeCells>
  <pageMargins left="0.7" right="0.7" top="0.75" bottom="0.75" header="0.3" footer="0.3"/>
  <pageSetup paperSize="9" orientation="portrait" verticalDpi="0" r:id="rId1"/>
  <drawing r:id="rId2"/>
  <extLst>
    <ext xmlns:x14="http://schemas.microsoft.com/office/spreadsheetml/2009/9/main" uri="{78C0D931-6437-407d-A8EE-F0AAD7539E65}">
      <x14:conditionalFormattings>
        <x14:conditionalFormatting xmlns:xm="http://schemas.microsoft.com/office/excel/2006/main">
          <x14:cfRule type="expression" priority="5" id="{82085131-A230-411E-BE3F-0BAF3B7184FD}">
            <xm:f>D5='course alignment matrices'!$D$7</xm:f>
            <x14:dxf>
              <font>
                <color rgb="FFC00000"/>
              </font>
              <fill>
                <patternFill>
                  <bgColor theme="0"/>
                </patternFill>
              </fill>
            </x14:dxf>
          </x14:cfRule>
          <x14:cfRule type="expression" priority="6" id="{D2DED744-F693-4104-AB3A-8C509B0A7F81}">
            <xm:f>D5='course alignment matrices'!$D$6</xm:f>
            <x14:dxf>
              <font>
                <color theme="9" tint="-0.499984740745262"/>
              </font>
              <fill>
                <patternFill>
                  <bgColor theme="9" tint="0.59996337778862885"/>
                </patternFill>
              </fill>
            </x14:dxf>
          </x14:cfRule>
          <x14:cfRule type="expression" priority="7" id="{4D900638-68CE-40EE-8E20-2594DAFD247A}">
            <xm:f>D5='course alignment matrices'!$D$5</xm:f>
            <x14:dxf>
              <font>
                <color theme="7" tint="-0.24994659260841701"/>
              </font>
              <fill>
                <patternFill>
                  <bgColor theme="7" tint="0.59996337778862885"/>
                </patternFill>
              </fill>
            </x14:dxf>
          </x14:cfRule>
          <x14:cfRule type="expression" priority="8" id="{306D9CA1-FF29-4987-8522-BE01EABB50B0}">
            <xm:f>D5='course alignment matrices'!$D$4</xm:f>
            <x14:dxf>
              <font>
                <color rgb="FFC00000"/>
              </font>
              <fill>
                <patternFill>
                  <bgColor theme="5" tint="0.79998168889431442"/>
                </patternFill>
              </fill>
            </x14:dxf>
          </x14:cfRule>
          <xm:sqref>D5:L11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9193896-319E-4A04-AB0C-AC33AC6CE0E5}">
          <x14:formula1>
            <xm:f>'course alignment matrices'!$D$4:$D$7</xm:f>
          </x14:formula1>
          <xm:sqref>D5:L11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94862-75FD-4A6C-ABA7-E594AF709662}">
  <dimension ref="A1:H17"/>
  <sheetViews>
    <sheetView workbookViewId="0">
      <selection activeCell="C26" sqref="C26"/>
    </sheetView>
  </sheetViews>
  <sheetFormatPr baseColWidth="10" defaultColWidth="11.453125" defaultRowHeight="14.5" x14ac:dyDescent="0.35"/>
  <cols>
    <col min="1" max="1" width="61" customWidth="1"/>
    <col min="2" max="2" width="24.453125" customWidth="1"/>
    <col min="3" max="3" width="25.54296875" style="52" customWidth="1"/>
    <col min="7" max="7" width="12.54296875" customWidth="1"/>
  </cols>
  <sheetData>
    <row r="1" spans="1:8" s="32" customFormat="1" x14ac:dyDescent="0.35">
      <c r="A1" s="48"/>
      <c r="C1" s="49"/>
      <c r="F1" s="50"/>
    </row>
    <row r="2" spans="1:8" ht="21" x14ac:dyDescent="0.5">
      <c r="A2" s="51" t="s">
        <v>182</v>
      </c>
      <c r="F2" s="50"/>
    </row>
    <row r="3" spans="1:8" x14ac:dyDescent="0.35">
      <c r="A3" s="2" t="s">
        <v>339</v>
      </c>
      <c r="C3" s="49"/>
      <c r="D3" s="32"/>
      <c r="F3" s="50"/>
    </row>
    <row r="4" spans="1:8" x14ac:dyDescent="0.35">
      <c r="B4" s="48"/>
      <c r="C4" s="1"/>
    </row>
    <row r="5" spans="1:8" ht="65" x14ac:dyDescent="0.35">
      <c r="A5" s="53" t="s">
        <v>2</v>
      </c>
      <c r="B5" s="54" t="s">
        <v>183</v>
      </c>
      <c r="C5" s="55" t="s">
        <v>184</v>
      </c>
      <c r="D5" s="55" t="s">
        <v>185</v>
      </c>
      <c r="E5" s="55" t="s">
        <v>186</v>
      </c>
      <c r="F5" s="55" t="s">
        <v>187</v>
      </c>
      <c r="G5" s="55" t="s">
        <v>188</v>
      </c>
      <c r="H5" s="55" t="s">
        <v>189</v>
      </c>
    </row>
    <row r="6" spans="1:8" x14ac:dyDescent="0.35">
      <c r="A6" s="56"/>
      <c r="B6" s="57"/>
      <c r="C6" s="57"/>
      <c r="D6" s="58"/>
      <c r="E6" s="58"/>
      <c r="F6" s="58"/>
      <c r="G6" s="58"/>
      <c r="H6" s="58"/>
    </row>
    <row r="7" spans="1:8" s="67" customFormat="1" ht="14.25" customHeight="1" x14ac:dyDescent="0.35">
      <c r="A7" s="354" t="s">
        <v>85</v>
      </c>
      <c r="B7" s="65" t="s">
        <v>190</v>
      </c>
      <c r="C7" s="65" t="s">
        <v>191</v>
      </c>
      <c r="D7" s="66"/>
      <c r="E7" s="66"/>
      <c r="F7" s="66"/>
      <c r="G7" s="66"/>
      <c r="H7" s="66"/>
    </row>
    <row r="8" spans="1:8" x14ac:dyDescent="0.35">
      <c r="A8" s="59"/>
      <c r="B8" s="59"/>
      <c r="C8" s="47"/>
      <c r="D8" s="32"/>
      <c r="E8" s="32"/>
      <c r="F8" s="32"/>
      <c r="G8" s="32"/>
      <c r="H8" s="32"/>
    </row>
    <row r="9" spans="1:8" x14ac:dyDescent="0.35">
      <c r="A9" s="60" t="s">
        <v>192</v>
      </c>
      <c r="B9" s="47"/>
      <c r="C9" s="61"/>
      <c r="D9" s="62"/>
      <c r="E9" s="32"/>
      <c r="F9" s="32"/>
      <c r="G9" s="32"/>
      <c r="H9" s="32"/>
    </row>
    <row r="10" spans="1:8" x14ac:dyDescent="0.35">
      <c r="A10" s="59" t="s">
        <v>193</v>
      </c>
      <c r="B10" s="47"/>
      <c r="C10" s="47"/>
      <c r="D10" s="32"/>
      <c r="E10" s="32"/>
      <c r="F10" s="32"/>
      <c r="G10" s="32"/>
      <c r="H10" s="32"/>
    </row>
    <row r="11" spans="1:8" x14ac:dyDescent="0.35">
      <c r="A11" s="59" t="s">
        <v>194</v>
      </c>
      <c r="B11" s="47"/>
      <c r="C11" s="47"/>
      <c r="D11" s="32"/>
      <c r="E11" s="32"/>
      <c r="F11" s="32"/>
      <c r="G11" s="32"/>
      <c r="H11" s="32"/>
    </row>
    <row r="12" spans="1:8" x14ac:dyDescent="0.35">
      <c r="A12" s="59" t="s">
        <v>195</v>
      </c>
      <c r="B12" s="47"/>
      <c r="C12" s="47"/>
      <c r="D12" s="32"/>
      <c r="E12" s="32"/>
      <c r="F12" s="32"/>
      <c r="G12" s="32"/>
      <c r="H12" s="32"/>
    </row>
    <row r="13" spans="1:8" x14ac:dyDescent="0.35">
      <c r="A13" s="59" t="s">
        <v>196</v>
      </c>
      <c r="B13" s="32"/>
      <c r="C13" s="47"/>
      <c r="D13" s="32"/>
      <c r="E13" s="32"/>
      <c r="F13" s="32"/>
      <c r="G13" s="32"/>
      <c r="H13" s="32"/>
    </row>
    <row r="14" spans="1:8" x14ac:dyDescent="0.35">
      <c r="A14" s="59" t="s">
        <v>197</v>
      </c>
      <c r="B14" s="32"/>
      <c r="C14" s="47"/>
      <c r="D14" s="32"/>
    </row>
    <row r="15" spans="1:8" x14ac:dyDescent="0.35">
      <c r="A15" s="59" t="s">
        <v>198</v>
      </c>
      <c r="B15" s="32"/>
      <c r="C15" s="47"/>
      <c r="D15" s="32"/>
    </row>
    <row r="16" spans="1:8" x14ac:dyDescent="0.35">
      <c r="A16" s="59" t="s">
        <v>199</v>
      </c>
      <c r="B16" s="32"/>
      <c r="C16" s="47"/>
      <c r="D16" s="32"/>
    </row>
    <row r="17" spans="1:3" x14ac:dyDescent="0.35">
      <c r="A17" s="59" t="s">
        <v>200</v>
      </c>
      <c r="C17"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34F7-5293-41F9-A2F3-5D05C35EB17E}">
  <dimension ref="B2:E37"/>
  <sheetViews>
    <sheetView workbookViewId="0">
      <selection activeCell="I29" sqref="I29"/>
    </sheetView>
  </sheetViews>
  <sheetFormatPr baseColWidth="10" defaultColWidth="11.453125" defaultRowHeight="14.5" x14ac:dyDescent="0.35"/>
  <cols>
    <col min="2" max="2" width="11.36328125" customWidth="1"/>
    <col min="5" max="5" width="65" customWidth="1"/>
  </cols>
  <sheetData>
    <row r="2" spans="2:5" x14ac:dyDescent="0.35">
      <c r="B2" t="s">
        <v>201</v>
      </c>
      <c r="E2" t="s">
        <v>202</v>
      </c>
    </row>
    <row r="3" spans="2:5" x14ac:dyDescent="0.35">
      <c r="B3" t="s">
        <v>157</v>
      </c>
      <c r="E3" t="s">
        <v>203</v>
      </c>
    </row>
    <row r="4" spans="2:5" x14ac:dyDescent="0.35">
      <c r="B4" t="s">
        <v>204</v>
      </c>
      <c r="E4" s="5" t="s">
        <v>156</v>
      </c>
    </row>
    <row r="5" spans="2:5" x14ac:dyDescent="0.35">
      <c r="E5" s="6" t="s">
        <v>22</v>
      </c>
    </row>
    <row r="6" spans="2:5" x14ac:dyDescent="0.35">
      <c r="E6" s="6" t="s">
        <v>85</v>
      </c>
    </row>
    <row r="7" spans="2:5" ht="15" customHeight="1" x14ac:dyDescent="0.35">
      <c r="E7" s="7" t="s">
        <v>124</v>
      </c>
    </row>
    <row r="8" spans="2:5" x14ac:dyDescent="0.35">
      <c r="E8" s="6" t="s">
        <v>130</v>
      </c>
    </row>
    <row r="9" spans="2:5" x14ac:dyDescent="0.35">
      <c r="E9" s="6" t="s">
        <v>92</v>
      </c>
    </row>
    <row r="10" spans="2:5" ht="15" customHeight="1" x14ac:dyDescent="0.35">
      <c r="E10" s="7" t="s">
        <v>54</v>
      </c>
    </row>
    <row r="11" spans="2:5" x14ac:dyDescent="0.35">
      <c r="E11" s="6" t="s">
        <v>37</v>
      </c>
    </row>
    <row r="12" spans="2:5" x14ac:dyDescent="0.35">
      <c r="E12" s="6" t="s">
        <v>159</v>
      </c>
    </row>
    <row r="13" spans="2:5" ht="15" customHeight="1" x14ac:dyDescent="0.35">
      <c r="E13" s="7" t="s">
        <v>160</v>
      </c>
    </row>
    <row r="14" spans="2:5" x14ac:dyDescent="0.35">
      <c r="E14" s="3" t="s">
        <v>160</v>
      </c>
    </row>
    <row r="15" spans="2:5" x14ac:dyDescent="0.35">
      <c r="E15" s="3" t="s">
        <v>205</v>
      </c>
    </row>
    <row r="16" spans="2:5" x14ac:dyDescent="0.35">
      <c r="E16" s="4" t="s">
        <v>206</v>
      </c>
    </row>
    <row r="17" spans="5:5" x14ac:dyDescent="0.35">
      <c r="E17" s="3" t="s">
        <v>207</v>
      </c>
    </row>
    <row r="18" spans="5:5" x14ac:dyDescent="0.35">
      <c r="E18" s="3" t="s">
        <v>208</v>
      </c>
    </row>
    <row r="19" spans="5:5" x14ac:dyDescent="0.35">
      <c r="E19" s="4" t="s">
        <v>209</v>
      </c>
    </row>
    <row r="20" spans="5:5" x14ac:dyDescent="0.35">
      <c r="E20" s="3" t="s">
        <v>210</v>
      </c>
    </row>
    <row r="21" spans="5:5" x14ac:dyDescent="0.35">
      <c r="E21" s="3" t="s">
        <v>211</v>
      </c>
    </row>
    <row r="22" spans="5:5" x14ac:dyDescent="0.35">
      <c r="E22" s="4" t="s">
        <v>212</v>
      </c>
    </row>
    <row r="23" spans="5:5" x14ac:dyDescent="0.35">
      <c r="E23" s="3" t="s">
        <v>213</v>
      </c>
    </row>
    <row r="24" spans="5:5" x14ac:dyDescent="0.35">
      <c r="E24" s="3" t="s">
        <v>214</v>
      </c>
    </row>
    <row r="25" spans="5:5" x14ac:dyDescent="0.35">
      <c r="E25" s="4" t="s">
        <v>215</v>
      </c>
    </row>
    <row r="26" spans="5:5" x14ac:dyDescent="0.35">
      <c r="E26" s="3" t="s">
        <v>216</v>
      </c>
    </row>
    <row r="27" spans="5:5" x14ac:dyDescent="0.35">
      <c r="E27" s="3" t="s">
        <v>217</v>
      </c>
    </row>
    <row r="28" spans="5:5" x14ac:dyDescent="0.35">
      <c r="E28" s="4" t="s">
        <v>218</v>
      </c>
    </row>
    <row r="29" spans="5:5" x14ac:dyDescent="0.35">
      <c r="E29" s="3" t="s">
        <v>219</v>
      </c>
    </row>
    <row r="30" spans="5:5" x14ac:dyDescent="0.35">
      <c r="E30" s="3" t="s">
        <v>220</v>
      </c>
    </row>
    <row r="31" spans="5:5" x14ac:dyDescent="0.35">
      <c r="E31" s="4" t="s">
        <v>221</v>
      </c>
    </row>
    <row r="32" spans="5:5" x14ac:dyDescent="0.35">
      <c r="E32" s="3" t="s">
        <v>222</v>
      </c>
    </row>
    <row r="33" spans="5:5" x14ac:dyDescent="0.35">
      <c r="E33" s="3" t="s">
        <v>223</v>
      </c>
    </row>
    <row r="34" spans="5:5" x14ac:dyDescent="0.35">
      <c r="E34" s="4" t="s">
        <v>224</v>
      </c>
    </row>
    <row r="35" spans="5:5" x14ac:dyDescent="0.35">
      <c r="E35" s="3" t="s">
        <v>225</v>
      </c>
    </row>
    <row r="36" spans="5:5" x14ac:dyDescent="0.35">
      <c r="E36" s="3" t="s">
        <v>226</v>
      </c>
    </row>
    <row r="37" spans="5:5" x14ac:dyDescent="0.35">
      <c r="E37" s="4" t="s">
        <v>227</v>
      </c>
    </row>
  </sheetData>
  <phoneticPr fontId="7" type="noConversion"/>
  <pageMargins left="0.7" right="0.7" top="0.75" bottom="0.75" header="0.3" footer="0.3"/>
  <pageSetup paperSize="9" orientation="portrait" verticalDpi="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BF7B-C0FC-4FA7-A626-47B23DAD278D}">
  <dimension ref="B3:F7"/>
  <sheetViews>
    <sheetView workbookViewId="0">
      <selection activeCell="I24" sqref="I24"/>
    </sheetView>
  </sheetViews>
  <sheetFormatPr baseColWidth="10" defaultColWidth="11.453125" defaultRowHeight="14.5" x14ac:dyDescent="0.35"/>
  <cols>
    <col min="2" max="2" width="23" customWidth="1"/>
    <col min="3" max="3" width="21.36328125" customWidth="1"/>
    <col min="4" max="4" width="23.36328125" customWidth="1"/>
    <col min="5" max="6" width="19" customWidth="1"/>
  </cols>
  <sheetData>
    <row r="3" spans="2:6" ht="58" x14ac:dyDescent="0.35">
      <c r="B3" s="9" t="s">
        <v>228</v>
      </c>
      <c r="C3" s="9" t="s">
        <v>229</v>
      </c>
      <c r="D3" s="9" t="s">
        <v>230</v>
      </c>
      <c r="E3" s="9" t="s">
        <v>231</v>
      </c>
      <c r="F3" s="9" t="s">
        <v>232</v>
      </c>
    </row>
    <row r="4" spans="2:6" x14ac:dyDescent="0.35">
      <c r="B4" s="471"/>
      <c r="C4" s="8" t="s">
        <v>233</v>
      </c>
      <c r="D4" s="8" t="s">
        <v>234</v>
      </c>
      <c r="E4" s="8" t="s">
        <v>233</v>
      </c>
      <c r="F4" s="8" t="s">
        <v>233</v>
      </c>
    </row>
    <row r="5" spans="2:6" x14ac:dyDescent="0.35">
      <c r="B5" s="472"/>
      <c r="C5" s="8" t="s">
        <v>235</v>
      </c>
      <c r="D5" s="8" t="s">
        <v>173</v>
      </c>
      <c r="E5" s="8" t="s">
        <v>235</v>
      </c>
      <c r="F5" s="8" t="s">
        <v>235</v>
      </c>
    </row>
    <row r="6" spans="2:6" x14ac:dyDescent="0.35">
      <c r="B6" s="472"/>
      <c r="C6" s="8"/>
      <c r="D6" s="8" t="s">
        <v>168</v>
      </c>
      <c r="E6" s="8"/>
      <c r="F6" s="8"/>
    </row>
    <row r="7" spans="2:6" x14ac:dyDescent="0.35">
      <c r="B7" s="473"/>
      <c r="C7" s="10"/>
      <c r="D7" s="10" t="s">
        <v>236</v>
      </c>
      <c r="E7" s="10"/>
      <c r="F7" s="10"/>
    </row>
  </sheetData>
  <mergeCells count="1">
    <mergeCell ref="B4:B7"/>
  </mergeCells>
  <conditionalFormatting sqref="D4">
    <cfRule type="containsText" dxfId="13" priority="1" operator="containsText" text="Introduced">
      <formula>NOT(ISERROR(SEARCH("Introduced",D4)))</formula>
    </cfRule>
  </conditionalFormatting>
  <conditionalFormatting sqref="D5">
    <cfRule type="containsText" dxfId="12" priority="2" operator="containsText" text="Emphasized">
      <formula>NOT(ISERROR(SEARCH("Emphasized",D5)))</formula>
    </cfRule>
  </conditionalFormatting>
  <conditionalFormatting sqref="D6">
    <cfRule type="containsText" dxfId="11" priority="3" operator="containsText" text="Reinforced">
      <formula>NOT(ISERROR(SEARCH("Reinforced",D6)))</formula>
    </cfRule>
  </conditionalFormatting>
  <conditionalFormatting sqref="D7">
    <cfRule type="containsText" dxfId="10" priority="4" operator="containsText" text="Not covered at all ">
      <formula>NOT(ISERROR(SEARCH("Not covered at all ",D7)))</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CA2BC1CE44A9840B6F9F31B8CB91FEB" ma:contentTypeVersion="8" ma:contentTypeDescription="Crear nuevo documento." ma:contentTypeScope="" ma:versionID="5f8eca206ebdc2b5361b327add01562c">
  <xsd:schema xmlns:xsd="http://www.w3.org/2001/XMLSchema" xmlns:xs="http://www.w3.org/2001/XMLSchema" xmlns:p="http://schemas.microsoft.com/office/2006/metadata/properties" xmlns:ns2="b1e62c7c-dd6e-4b99-8026-c22976ccfa67" xmlns:ns3="79736f61-391d-48ac-b98f-4bf830bea233" targetNamespace="http://schemas.microsoft.com/office/2006/metadata/properties" ma:root="true" ma:fieldsID="d4a205edba296d8513ba2bc4adfc657b" ns2:_="" ns3:_="">
    <xsd:import namespace="b1e62c7c-dd6e-4b99-8026-c22976ccfa67"/>
    <xsd:import namespace="79736f61-391d-48ac-b98f-4bf830bea23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e62c7c-dd6e-4b99-8026-c22976ccfa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36f61-391d-48ac-b98f-4bf830bea23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DC71D3-2379-49FB-A9D6-E1A867D2CA9F}">
  <ds:schemaRefs>
    <ds:schemaRef ds:uri="http://schemas.microsoft.com/sharepoint/v3/contenttype/forms"/>
  </ds:schemaRefs>
</ds:datastoreItem>
</file>

<file path=customXml/itemProps2.xml><?xml version="1.0" encoding="utf-8"?>
<ds:datastoreItem xmlns:ds="http://schemas.openxmlformats.org/officeDocument/2006/customXml" ds:itemID="{B197B37B-7B56-438B-9FA4-747BE2FC33E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CF27194-5173-4582-8F35-AA8146026F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e62c7c-dd6e-4b99-8026-c22976ccfa67"/>
    <ds:schemaRef ds:uri="79736f61-391d-48ac-b98f-4bf830bea2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MMDD29_PDE</vt:lpstr>
      <vt:lpstr>MMDD29_calendari</vt:lpstr>
      <vt:lpstr>MMDD30_PDE</vt:lpstr>
      <vt:lpstr>MMDD30_calendari</vt:lpstr>
      <vt:lpstr>Mapeig AoL</vt:lpstr>
      <vt:lpstr>Despeses</vt:lpstr>
      <vt:lpstr>rangs</vt:lpstr>
      <vt:lpstr>course alignment matrices</vt:lpstr>
      <vt:lpstr>MMDD30_calendari!Área_de_impresión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Esther Martínez</dc:creator>
  <cp:keywords/>
  <dc:description/>
  <cp:lastModifiedBy>JM Fabregas</cp:lastModifiedBy>
  <cp:revision/>
  <cp:lastPrinted>2025-05-21T15:29:27Z</cp:lastPrinted>
  <dcterms:created xsi:type="dcterms:W3CDTF">2019-02-01T12:54:19Z</dcterms:created>
  <dcterms:modified xsi:type="dcterms:W3CDTF">2025-05-28T15:30:56Z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0x0101003CA2BC1CE44A9840B6F9F31B8CB91FEB</vt:lpwstr>
  </property>
</Properties>
</file>